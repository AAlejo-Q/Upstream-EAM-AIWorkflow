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qbsol.sharepoint.com/sites/ProductManagement/Shared Documents/General/Upstream/Accounting Modernization/"/>
    </mc:Choice>
  </mc:AlternateContent>
  <xr:revisionPtr revIDLastSave="0" documentId="8_{3F4BCA2E-A7A9-43B1-B72E-0EC4B981538B}" xr6:coauthVersionLast="47" xr6:coauthVersionMax="47" xr10:uidLastSave="{00000000-0000-0000-0000-000000000000}"/>
  <bookViews>
    <workbookView xWindow="-28920" yWindow="-120" windowWidth="29040" windowHeight="15720" xr2:uid="{57472A85-6BBD-4B58-8F9B-4B66653995C8}"/>
  </bookViews>
  <sheets>
    <sheet name="Screens_Asher" sheetId="8" r:id="rId1"/>
    <sheet name="Screens_Old2" sheetId="7" r:id="rId2"/>
    <sheet name="Screens_Old1" sheetId="1" r:id="rId3"/>
    <sheet name="Sheet1" sheetId="6" r:id="rId4"/>
    <sheet name="QFC Features" sheetId="3" r:id="rId5"/>
    <sheet name="To Determine" sheetId="4" r:id="rId6"/>
    <sheet name="Lookups" sheetId="5" r:id="rId7"/>
  </sheets>
  <definedNames>
    <definedName name="_xlnm._FilterDatabase" localSheetId="0" hidden="1">Screens_Asher!$A$1:$T$81</definedName>
    <definedName name="_xlnm._FilterDatabase" localSheetId="2" hidden="1">Screens_Old1!$A$1:$M$79</definedName>
    <definedName name="_xlnm._FilterDatabase" localSheetId="1" hidden="1">Screens_Old2!$A$1:$N$81</definedName>
    <definedName name="_xlnm._FilterDatabase" localSheetId="3" hidden="1">Sheet1!$A$1:$G$1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8" l="1"/>
  <c r="B49" i="8"/>
  <c r="B50" i="8"/>
  <c r="B51" i="8"/>
  <c r="B37" i="8"/>
  <c r="B39" i="8"/>
  <c r="B40" i="8"/>
  <c r="B41" i="8"/>
  <c r="B38" i="8"/>
  <c r="B52" i="8"/>
  <c r="B53" i="8"/>
  <c r="B62" i="8"/>
  <c r="B54" i="8"/>
  <c r="B55" i="8"/>
  <c r="B56" i="8"/>
  <c r="B63" i="8"/>
  <c r="B57" i="8"/>
  <c r="B64" i="8"/>
  <c r="B65" i="8"/>
  <c r="B60" i="8"/>
  <c r="B42" i="8"/>
  <c r="B43" i="8"/>
  <c r="B76" i="8"/>
  <c r="B5" i="8"/>
  <c r="B6" i="8"/>
  <c r="B7" i="8"/>
  <c r="B8" i="8"/>
  <c r="B9" i="8"/>
  <c r="B10" i="8"/>
  <c r="B11" i="8"/>
  <c r="B17" i="8"/>
  <c r="B26" i="8"/>
  <c r="B18" i="8"/>
  <c r="B27" i="8"/>
  <c r="B28" i="8"/>
  <c r="B29" i="8"/>
  <c r="B31" i="8"/>
  <c r="B32" i="8"/>
  <c r="B30" i="8"/>
  <c r="B33" i="8"/>
  <c r="B34" i="8"/>
  <c r="B35" i="8"/>
  <c r="B36" i="8"/>
  <c r="B78" i="8"/>
  <c r="B58" i="8"/>
  <c r="B59" i="8"/>
  <c r="B61" i="8"/>
  <c r="B3" i="8"/>
  <c r="B73" i="8"/>
  <c r="B24" i="8"/>
  <c r="B25" i="8"/>
  <c r="B71" i="8"/>
  <c r="B66" i="8"/>
  <c r="B69" i="8"/>
  <c r="B67" i="8"/>
  <c r="B70" i="8"/>
  <c r="B68" i="8"/>
  <c r="B74" i="8"/>
  <c r="B75" i="8"/>
  <c r="B23" i="8"/>
  <c r="B21" i="8"/>
  <c r="B20" i="8"/>
  <c r="B72" i="8"/>
  <c r="B77" i="8"/>
  <c r="B44" i="8"/>
  <c r="B45" i="8"/>
  <c r="B46" i="8"/>
  <c r="B15" i="8"/>
  <c r="B16" i="8"/>
  <c r="B80" i="8"/>
  <c r="B81" i="8"/>
  <c r="B79" i="8"/>
  <c r="B13" i="8"/>
  <c r="B14" i="8"/>
  <c r="B4" i="8"/>
  <c r="B2" i="8"/>
  <c r="B19" i="8"/>
  <c r="B22" i="8"/>
  <c r="B12" i="8"/>
  <c r="B47" i="8"/>
  <c r="K3" i="1"/>
  <c r="K4" i="1"/>
  <c r="K18" i="1"/>
  <c r="K6" i="1"/>
  <c r="K7" i="1"/>
  <c r="K25" i="1"/>
  <c r="K26" i="1"/>
  <c r="K27" i="1"/>
  <c r="K28" i="1"/>
  <c r="K29" i="1"/>
  <c r="K30" i="1"/>
  <c r="K31" i="1"/>
  <c r="K32" i="1"/>
  <c r="K37" i="1"/>
  <c r="K38" i="1"/>
  <c r="K39" i="1"/>
  <c r="K40" i="1"/>
  <c r="K42" i="1"/>
  <c r="K45" i="1"/>
  <c r="K24" i="1"/>
  <c r="K57" i="1"/>
  <c r="K50" i="1"/>
  <c r="K58" i="1"/>
  <c r="K59" i="1"/>
  <c r="K51" i="1"/>
  <c r="K8" i="1"/>
  <c r="K9" i="1"/>
  <c r="K52" i="1"/>
  <c r="K77" i="1"/>
  <c r="K79" i="1"/>
  <c r="K64" i="1"/>
  <c r="K54" i="1"/>
  <c r="K55" i="1"/>
  <c r="K66" i="1"/>
  <c r="K67" i="1"/>
  <c r="K68" i="1"/>
  <c r="K69" i="1"/>
  <c r="K33" i="1"/>
  <c r="K34" i="1"/>
  <c r="K35" i="1"/>
  <c r="K36" i="1"/>
  <c r="K41" i="1"/>
  <c r="K43" i="1"/>
  <c r="K44" i="1"/>
  <c r="K46" i="1"/>
  <c r="K47" i="1"/>
  <c r="K49" i="1"/>
  <c r="K22" i="1"/>
  <c r="K72" i="1"/>
  <c r="K73" i="1"/>
  <c r="K74" i="1"/>
  <c r="K75" i="1"/>
  <c r="K76" i="1"/>
  <c r="K60" i="1"/>
  <c r="K61" i="1"/>
  <c r="K62" i="1"/>
  <c r="K53" i="1"/>
  <c r="K78" i="1"/>
  <c r="K63" i="1"/>
  <c r="K56" i="1"/>
  <c r="K65" i="1"/>
  <c r="K70" i="1"/>
  <c r="K71" i="1"/>
  <c r="K17" i="1"/>
  <c r="K15" i="1"/>
  <c r="K16" i="1"/>
  <c r="K19" i="1"/>
  <c r="K23" i="1"/>
  <c r="K21" i="1"/>
  <c r="K48" i="1"/>
  <c r="K12" i="1"/>
  <c r="K11" i="1"/>
  <c r="K20" i="1"/>
  <c r="K2" i="1"/>
</calcChain>
</file>

<file path=xl/sharedStrings.xml><?xml version="1.0" encoding="utf-8"?>
<sst xmlns="http://schemas.openxmlformats.org/spreadsheetml/2006/main" count="3031" uniqueCount="657">
  <si>
    <t>Feature Rank</t>
  </si>
  <si>
    <t>Feature Title</t>
  </si>
  <si>
    <t>Feature ID</t>
  </si>
  <si>
    <t>Short Name</t>
  </si>
  <si>
    <t>Long Name</t>
  </si>
  <si>
    <t>Priority</t>
  </si>
  <si>
    <t>Design Notes</t>
  </si>
  <si>
    <t>Priority Notes</t>
  </si>
  <si>
    <t>Menu Folder</t>
  </si>
  <si>
    <t>Menu Abbreviation for URL</t>
  </si>
  <si>
    <t>Source (Web vs Classic)</t>
  </si>
  <si>
    <t>Source Form</t>
  </si>
  <si>
    <t>Query</t>
  </si>
  <si>
    <t>Input</t>
  </si>
  <si>
    <t>Process</t>
  </si>
  <si>
    <t>Query Detail Pair</t>
  </si>
  <si>
    <t>Batch on Screen?</t>
  </si>
  <si>
    <t>Complex Batch?</t>
  </si>
  <si>
    <t>Prexisting screen?</t>
  </si>
  <si>
    <t>Commentary/Notes</t>
  </si>
  <si>
    <t>VL031</t>
  </si>
  <si>
    <t>VL Direct Revenue Input</t>
  </si>
  <si>
    <t>1 - Priority 1</t>
  </si>
  <si>
    <t>Redesign to incorporate VL032</t>
  </si>
  <si>
    <t>Revenue Distribution</t>
  </si>
  <si>
    <t>RD</t>
  </si>
  <si>
    <t>Classic Gui</t>
  </si>
  <si>
    <t>QFRMVLMANUALINPUTHTD</t>
  </si>
  <si>
    <t>Y</t>
  </si>
  <si>
    <t>N</t>
  </si>
  <si>
    <t>ML006</t>
  </si>
  <si>
    <t>SOD DRI Links</t>
  </si>
  <si>
    <t>Lift and Shift with Minor redesign</t>
  </si>
  <si>
    <t>QFRMSODDRILINKS</t>
  </si>
  <si>
    <t>VL025</t>
  </si>
  <si>
    <t>DRI Link Maintenance</t>
  </si>
  <si>
    <t>Lift and Shift</t>
  </si>
  <si>
    <t>QFRMMILINKMAINTENANCE</t>
  </si>
  <si>
    <t>JE005</t>
  </si>
  <si>
    <t>JE Group Type Maintenance</t>
  </si>
  <si>
    <t>Journal Entries</t>
  </si>
  <si>
    <t>JE</t>
  </si>
  <si>
    <t>QFRMGROUPTYPEMAINTENANCE</t>
  </si>
  <si>
    <t>JE010</t>
  </si>
  <si>
    <t>Account Setup Maintenance</t>
  </si>
  <si>
    <t>QFRMACCTSETUPMAINTENANCE</t>
  </si>
  <si>
    <t>JE011</t>
  </si>
  <si>
    <t>Account/Subledger Xref</t>
  </si>
  <si>
    <t>QFRMACCTSUBLEDGERXREF</t>
  </si>
  <si>
    <t>JE015</t>
  </si>
  <si>
    <t>Account Group</t>
  </si>
  <si>
    <t>QFRMACCTGROUPMAINTENANCE</t>
  </si>
  <si>
    <t>JE020</t>
  </si>
  <si>
    <t>Account/Account Group Xref</t>
  </si>
  <si>
    <t>QFRMACCTACCTGROUPXREF</t>
  </si>
  <si>
    <t>JE025</t>
  </si>
  <si>
    <t>Account Group Template</t>
  </si>
  <si>
    <t>QFRMACCTGROUPTEMPLATE</t>
  </si>
  <si>
    <t>JE030</t>
  </si>
  <si>
    <t>Subledger Maintenance</t>
  </si>
  <si>
    <t>QFRMSUBLEDGERMAINTENANCEDETAIL</t>
  </si>
  <si>
    <t>VL100</t>
  </si>
  <si>
    <t>Revenue Selection/Submittal</t>
  </si>
  <si>
    <t>Redesign?</t>
  </si>
  <si>
    <t>QFRMREVENUESUBMISSION</t>
  </si>
  <si>
    <t>VL005</t>
  </si>
  <si>
    <t>DOI Accounting Data Query</t>
  </si>
  <si>
    <t>3 - Priority 3</t>
  </si>
  <si>
    <t>Combine with VL006</t>
  </si>
  <si>
    <t>Combine with data input</t>
  </si>
  <si>
    <t>QFRMDOIACCOUNTINGDATA</t>
  </si>
  <si>
    <t>VL006</t>
  </si>
  <si>
    <t>DOI Accounting Rules</t>
  </si>
  <si>
    <t>Combine with VL005</t>
  </si>
  <si>
    <t>Must have data input screen</t>
  </si>
  <si>
    <t>QFRMDOIACCOUNTINGDATAHEADERDETAIL</t>
  </si>
  <si>
    <t>TX020</t>
  </si>
  <si>
    <t>State Tax Rate Query</t>
  </si>
  <si>
    <t>QFRMSTATETAXRATEQUERY</t>
  </si>
  <si>
    <t>TX021</t>
  </si>
  <si>
    <t>State Tax Rate Maintenance</t>
  </si>
  <si>
    <t>QFRMSTATETAXRATE</t>
  </si>
  <si>
    <t>JE100</t>
  </si>
  <si>
    <t>JE Post Selection/Submittal</t>
  </si>
  <si>
    <t>QFRMJEPOSTINGCONTROL</t>
  </si>
  <si>
    <t>JE102</t>
  </si>
  <si>
    <t>Accounting Month Roll Date</t>
  </si>
  <si>
    <t>2 - Priority 2</t>
  </si>
  <si>
    <t>Batch Process Launcher</t>
  </si>
  <si>
    <t>QFRMACCTMNTHROLLDATE</t>
  </si>
  <si>
    <t>VL032</t>
  </si>
  <si>
    <t>VL Direct Revenue Input Upload</t>
  </si>
  <si>
    <t>Combine with VL031</t>
  </si>
  <si>
    <t>Combine with other screen for single unified workflow</t>
  </si>
  <si>
    <t>QFRMVLMANUALINPUTUPLOAD</t>
  </si>
  <si>
    <t>RD031</t>
  </si>
  <si>
    <t>RD Post Tracking Results</t>
  </si>
  <si>
    <t>Query Screen Data Strategy?</t>
  </si>
  <si>
    <t>QFRMRDOWNERLEVELPOSTHISTORYQUERY</t>
  </si>
  <si>
    <t>RD030</t>
  </si>
  <si>
    <t>RD Pre Tracking Results</t>
  </si>
  <si>
    <t>QFRMRDOWNERLEVELHISTORYQUERY</t>
  </si>
  <si>
    <t>VL050</t>
  </si>
  <si>
    <t>VL Full Revenue Results</t>
  </si>
  <si>
    <t>QFRMVALTRANSQUERY</t>
  </si>
  <si>
    <t>RD010</t>
  </si>
  <si>
    <t>Reversal DOI Deletion</t>
  </si>
  <si>
    <t>QFRMREVERSALDODELETION</t>
  </si>
  <si>
    <t>PN020</t>
  </si>
  <si>
    <t>PPN Creation</t>
  </si>
  <si>
    <t>Mostly Lift and Shift Combine with PN025</t>
  </si>
  <si>
    <t>QFrmPPNCreation</t>
  </si>
  <si>
    <t>PN025</t>
  </si>
  <si>
    <t>PPN Query</t>
  </si>
  <si>
    <t>Combine with PN020</t>
  </si>
  <si>
    <t>Combine with other screen</t>
  </si>
  <si>
    <t>QFrmPPNQuery</t>
  </si>
  <si>
    <t>JE101</t>
  </si>
  <si>
    <t>Subledger Detail Query</t>
  </si>
  <si>
    <t>JE110</t>
  </si>
  <si>
    <t>GL MTD Detail Query</t>
  </si>
  <si>
    <t>Exists in My Q Web; Query Screen Data Strategy?</t>
  </si>
  <si>
    <t>QFRMGENERALLEDGERDETAILQUERY</t>
  </si>
  <si>
    <t>JE111</t>
  </si>
  <si>
    <t>GL History Detail Query</t>
  </si>
  <si>
    <t>QFRMGENERALLEDGERDETAILHISTQUERY</t>
  </si>
  <si>
    <t>JE205</t>
  </si>
  <si>
    <t>Manual JE Batch Maintenance</t>
  </si>
  <si>
    <t>Redesign - Combine all MJE screens</t>
  </si>
  <si>
    <t>Must have MJE but should combine to single workflow</t>
  </si>
  <si>
    <t>QFRMMANUALJEBATCHMAINTENANCE</t>
  </si>
  <si>
    <t>JE210</t>
  </si>
  <si>
    <t>Manual JE Batch Approval</t>
  </si>
  <si>
    <t>QFRMMANUALJEBATCHAPPROVAL</t>
  </si>
  <si>
    <t>JE206</t>
  </si>
  <si>
    <t>Manual JE Detail</t>
  </si>
  <si>
    <t>QFRMMANUALJEDETAIL</t>
  </si>
  <si>
    <t>JE207</t>
  </si>
  <si>
    <t>Manual JE Tax and Adj</t>
  </si>
  <si>
    <t>JE305</t>
  </si>
  <si>
    <t>HIST Reversal Batch Selection</t>
  </si>
  <si>
    <t>EQT and BP only frequent users</t>
  </si>
  <si>
    <t>QFRMHISTORYREVERSALBATCHSELECTION</t>
  </si>
  <si>
    <t>JE310</t>
  </si>
  <si>
    <t>HIST Reversal Batch Execution</t>
  </si>
  <si>
    <t>QFRMHISTORYREVERSALBATCHEXECUTION</t>
  </si>
  <si>
    <t>?</t>
  </si>
  <si>
    <t>JE315</t>
  </si>
  <si>
    <t>MTD Reversal Batch Selection</t>
  </si>
  <si>
    <t>QFRMMTDREVERSALBATCHSELECTION</t>
  </si>
  <si>
    <t>JE320</t>
  </si>
  <si>
    <t>MTD Reversal Batch Execution</t>
  </si>
  <si>
    <t>QFRMMTDREVERSALBATCHEXECUTION</t>
  </si>
  <si>
    <t>CW005</t>
  </si>
  <si>
    <t>Check Register Query/View</t>
  </si>
  <si>
    <t>Check Write</t>
  </si>
  <si>
    <t>CW</t>
  </si>
  <si>
    <t>Web (or use Classic?)</t>
  </si>
  <si>
    <t>CW020</t>
  </si>
  <si>
    <t>Void Check Maintenance</t>
  </si>
  <si>
    <t>Lift and Shift with Performance Improvements</t>
  </si>
  <si>
    <t>CW010</t>
  </si>
  <si>
    <t>State Withholding Tax Maintenance</t>
  </si>
  <si>
    <t>QFRMSTATEWITHHOLDINGTAX</t>
  </si>
  <si>
    <t>CW011</t>
  </si>
  <si>
    <t>State Backup Withholding Tax Maintenance</t>
  </si>
  <si>
    <t>QFRMSTATEBACKUPWITHHOLDINGTAXMAINT</t>
  </si>
  <si>
    <t>CW015</t>
  </si>
  <si>
    <t>Non-Resident Alien Withholding Tax Maintenance</t>
  </si>
  <si>
    <t>QFRMFOREIGNWITHHOLDINGTAX</t>
  </si>
  <si>
    <t>EC005</t>
  </si>
  <si>
    <t>Escheat Maintenance/History</t>
  </si>
  <si>
    <t>QFRMESCHEATMAINTENANCEHISTORY</t>
  </si>
  <si>
    <t>EC010</t>
  </si>
  <si>
    <t>Escheat Processing Rules</t>
  </si>
  <si>
    <t>QFRMESCHEATPROCESSINGRULES</t>
  </si>
  <si>
    <t>TR010</t>
  </si>
  <si>
    <t>Lease Master Data - MMS Royalty Reporting</t>
  </si>
  <si>
    <t>Tax and Reg</t>
  </si>
  <si>
    <t>TaxReg</t>
  </si>
  <si>
    <t>QFRMMMSROYALTYLEASEMASTER</t>
  </si>
  <si>
    <t>TS005</t>
  </si>
  <si>
    <t>Severance Tax Common Query</t>
  </si>
  <si>
    <t>QFRMTSTAXCOMMONQUERY</t>
  </si>
  <si>
    <t>TS006</t>
  </si>
  <si>
    <t>Severance Tax Common Maintenance</t>
  </si>
  <si>
    <t>QFRMTSTAXCOMMON</t>
  </si>
  <si>
    <t>BA005</t>
  </si>
  <si>
    <t>Business Assocate</t>
  </si>
  <si>
    <t>Lift and Shift - But strip Midstream Needs?</t>
  </si>
  <si>
    <t>Can Revert to Esuite Web</t>
  </si>
  <si>
    <t>Esuite</t>
  </si>
  <si>
    <t>BA010</t>
  </si>
  <si>
    <t>BA Mass Update</t>
  </si>
  <si>
    <t>Lift and Shift from Classic</t>
  </si>
  <si>
    <t>BA015</t>
  </si>
  <si>
    <t>BA Address Mass Update</t>
  </si>
  <si>
    <t>BA030</t>
  </si>
  <si>
    <t>Contact Maintenance</t>
  </si>
  <si>
    <t>CC010</t>
  </si>
  <si>
    <t>Cost Center Maintenance</t>
  </si>
  <si>
    <t>Web</t>
  </si>
  <si>
    <t>DO004</t>
  </si>
  <si>
    <t>DOI Header Query</t>
  </si>
  <si>
    <t>Can resort to QDO Web</t>
  </si>
  <si>
    <t>Division of Interest</t>
  </si>
  <si>
    <t>DOI</t>
  </si>
  <si>
    <t>DO005</t>
  </si>
  <si>
    <t>DOI Query</t>
  </si>
  <si>
    <t>DO016</t>
  </si>
  <si>
    <t>MEG Setup</t>
  </si>
  <si>
    <t>Quorum.QDO.Web/Views/DonlMktExmpGrpHdr</t>
  </si>
  <si>
    <t>DO105</t>
  </si>
  <si>
    <t>DOI History</t>
  </si>
  <si>
    <t xml:space="preserve">Lift and Shift </t>
  </si>
  <si>
    <t>Quorum.QDO.Web/Views/DOIHistory</t>
  </si>
  <si>
    <t>DO999</t>
  </si>
  <si>
    <t>DOI Search</t>
  </si>
  <si>
    <t>Owner Search</t>
  </si>
  <si>
    <t>These are on the dashboard - need to test</t>
  </si>
  <si>
    <t>MG004</t>
  </si>
  <si>
    <t>Market Group Header Query</t>
  </si>
  <si>
    <t>MG005</t>
  </si>
  <si>
    <t>Market Group Query</t>
  </si>
  <si>
    <t>QFRMMARKETGROUPQUERY</t>
  </si>
  <si>
    <t>Pending Market Groups</t>
  </si>
  <si>
    <t>MG006</t>
  </si>
  <si>
    <t>Market Group</t>
  </si>
  <si>
    <t>Can use existing web screen</t>
  </si>
  <si>
    <t>DO006</t>
  </si>
  <si>
    <t>DOI Setup</t>
  </si>
  <si>
    <t>Redesign? (Potential redesign for GWI Calc report?)</t>
  </si>
  <si>
    <t>QDO.WEB.Views/DonlDoHDr</t>
  </si>
  <si>
    <t>Maintenance Wizard (Maintenance Group Creation, Maintenance Group, Transaction wizard from Elixir)</t>
  </si>
  <si>
    <t>Redesign (some elements)</t>
  </si>
  <si>
    <t>Pending DOIs</t>
  </si>
  <si>
    <t>Pending Maintenance</t>
  </si>
  <si>
    <t>QP010</t>
  </si>
  <si>
    <t>Process Execution Monitor</t>
  </si>
  <si>
    <t>System</t>
  </si>
  <si>
    <t>QVIEWBATCHPROCESSMONITOR</t>
  </si>
  <si>
    <t>QP045</t>
  </si>
  <si>
    <t>Process Execution Monitor Query</t>
  </si>
  <si>
    <t>QFRMBATCHPROCESSQUEUEQUERY</t>
  </si>
  <si>
    <t>QP110</t>
  </si>
  <si>
    <t>Active Lock Monitor</t>
  </si>
  <si>
    <t>QFRMACTIVELOCKMONITOR</t>
  </si>
  <si>
    <t>QP043</t>
  </si>
  <si>
    <t>Process Launcher - QRA</t>
  </si>
  <si>
    <t>QFRMBATCHPROCESSLAUNCHER</t>
  </si>
  <si>
    <t>QP085</t>
  </si>
  <si>
    <t>Report Launcher - QRA</t>
  </si>
  <si>
    <t>QFRMBATCHREPORTLAUNCHER</t>
  </si>
  <si>
    <t>PR005</t>
  </si>
  <si>
    <t>Property</t>
  </si>
  <si>
    <t>Master Files</t>
  </si>
  <si>
    <t>MF</t>
  </si>
  <si>
    <t>QFRMPROPERTY</t>
  </si>
  <si>
    <t>SP025</t>
  </si>
  <si>
    <t>Well Completion/Property/DOI Xref</t>
  </si>
  <si>
    <t>QFRMWELLPROPERTYCROSSREFERENCE</t>
  </si>
  <si>
    <t>PD035</t>
  </si>
  <si>
    <t>Well Completion</t>
  </si>
  <si>
    <t>RC005</t>
  </si>
  <si>
    <t>Contract Maintenance</t>
  </si>
  <si>
    <t>Contracts</t>
  </si>
  <si>
    <t>CTR</t>
  </si>
  <si>
    <t>QFRMCTRMAINT</t>
  </si>
  <si>
    <t>RC036</t>
  </si>
  <si>
    <t>Price Terms Maintenance</t>
  </si>
  <si>
    <t>QFRMPRICETERMSMAINT</t>
  </si>
  <si>
    <t>Couple ideas I have when the GWI calc process runs:
1. it first deletes prior calculated value before entering new one, so there is always just one per DOI/Owner key
    - is there risk if two jobs are running at the same time - like screen and report or something?
2. leave how we use dstg alone, but create a separate table that is the 'most recently only' table, which would delete before it inserts
    - limits risk, nothing changes for existing processes screens
3. on DOI Setup, Owner Search, DOI Search type screens, instead of only populating GWI field after calculate, look up the "most recent" value on screen query (not sure its actually on the search screens but could be added)</t>
  </si>
  <si>
    <t>GB015</t>
  </si>
  <si>
    <t>Gas Balancing Manual Input</t>
  </si>
  <si>
    <t>Gas Balancing</t>
  </si>
  <si>
    <t>GB</t>
  </si>
  <si>
    <t>QFRMGASBALMANUAL</t>
  </si>
  <si>
    <t>STG1</t>
  </si>
  <si>
    <t>Stage Table Data Maintenance</t>
  </si>
  <si>
    <t>QFRMSTGTABLEMAINTENANCE</t>
  </si>
  <si>
    <t>MF035</t>
  </si>
  <si>
    <t>Code Table Value Editor</t>
  </si>
  <si>
    <t>QFRMCODETABLEVALUEEDITOR</t>
  </si>
  <si>
    <t>VA035</t>
  </si>
  <si>
    <t>VA Results</t>
  </si>
  <si>
    <t>Production</t>
  </si>
  <si>
    <t>QFRMVARESULTSFILTERDETAIL</t>
  </si>
  <si>
    <t>VA005</t>
  </si>
  <si>
    <t>Gas Volumes</t>
  </si>
  <si>
    <t>QFRMGASVOLUME</t>
  </si>
  <si>
    <t>VA015</t>
  </si>
  <si>
    <t>Liquid Volumes</t>
  </si>
  <si>
    <t>QFRMLIQUIDVOLUME</t>
  </si>
  <si>
    <t>Feature</t>
  </si>
  <si>
    <t>POC Status</t>
  </si>
  <si>
    <t>My Q Web Status</t>
  </si>
  <si>
    <t xml:space="preserve"> DOI Header Query</t>
  </si>
  <si>
    <t xml:space="preserve"> DOI Query</t>
  </si>
  <si>
    <t xml:space="preserve"> DOI Setup</t>
  </si>
  <si>
    <t>Maintenance Group Creation, Maintenance Group, Transaction wizard from Elixir</t>
  </si>
  <si>
    <t>Sarah Will Do</t>
  </si>
  <si>
    <t>Market Group Detail Query</t>
  </si>
  <si>
    <t>Screen Code</t>
  </si>
  <si>
    <t>Screen Name</t>
  </si>
  <si>
    <t>Screen Purpose</t>
  </si>
  <si>
    <t>Current Status</t>
  </si>
  <si>
    <t>Critical Gaps</t>
  </si>
  <si>
    <t>What's Working</t>
  </si>
  <si>
    <t>Critical Missing Features</t>
  </si>
  <si>
    <t>N/A</t>
  </si>
  <si>
    <t>~40% feature parity achieved</t>
  </si>
  <si>
    <t>35 identified (22 CRITICAL, 13 MODERATE)</t>
  </si>
  <si>
    <t>~35% feature parity achieved</t>
  </si>
  <si>
    <t>28 identified (16 CRITICAL, 12 MODERATE)</t>
  </si>
  <si>
    <t>~75% feature parity achieved</t>
  </si>
  <si>
    <t>12 identified (6 CRITICAL, 4 MODERATE, 2 LOW)</t>
  </si>
  <si>
    <t>~85% feature parity achieved (updated 2026-01-14)</t>
  </si>
  <si>
    <t>8 identified (3 CRITICAL, 3 MODERATE, 2 LOW)</t>
  </si>
  <si>
    <t>~55% feature parity achieved (basic query functionality complete)</t>
  </si>
  <si>
    <t>18 identified (12 CRITICAL, 6 MODERATE)</t>
  </si>
  <si>
    <t>15 identified (8 CRITICAL, 7 MODERATE)</t>
  </si>
  <si>
    <t>~65% feature parity achieved</t>
  </si>
  <si>
    <t>28 identified (15 CRITICAL, 13 MODERATE)</t>
  </si>
  <si>
    <t>Market Exemption Group</t>
  </si>
  <si>
    <t>~90% feature parity achieved</t>
  </si>
  <si>
    <t>8 identified (3 CRITICAL, 5 MODERATE)</t>
  </si>
  <si>
    <t>Manual entry and management of gas balance transactions with inline grid editing, change tracking, and volume calculations</t>
  </si>
  <si>
    <t>7 identified (3 CRITICAL, 4 MODERATE)</t>
  </si>
  <si>
    <t>Filter section with all search criteria, Results grid with inline editing, CRUD operations, Volume calculations, Balance checking, Lookups &amp; dropdowns, Security checks</t>
  </si>
  <si>
    <t>GMI/GWI Integration, Comments/Notes, Grid column configuration from metadata, Advanced business rule validation</t>
  </si>
  <si>
    <t>Master-detail maintenance screen for JE Group Type configurations</t>
  </si>
  <si>
    <t>~85% feature parity achieved</t>
  </si>
  <si>
    <t>9 identified (3 CRITICAL, 4 MODERATE, 2 LOW)</t>
  </si>
  <si>
    <t>Blazor component rendering, Basic CRUD operations, Master-detail grid with inline editing, Change tracking and row state management, Security checks, DTOs and service layer</t>
  </si>
  <si>
    <t>Business rule validation incomplete (6 validation rules not implemented), GL_MTD_SUM_FL handling unclear, Configuration metadata integration missing</t>
  </si>
  <si>
    <t>Inline grid maintenance for account group configurations with 17 editable columns</t>
  </si>
  <si>
    <t>~92% feature parity achieved</t>
  </si>
  <si>
    <t>4 identified (2 CRITICAL, 2 MODERATE)</t>
  </si>
  <si>
    <t>Core inline grid editing with 17 editable columns, Composite primary key management, Row state tracking (Added/Modified/Deleted), Bulk save with transaction support, Comprehensive validation (2 business rules), Affiliate flag conditional behavior, Security check and maintenance privilege</t>
  </si>
  <si>
    <t>Account Group Number field shows numeric incrementer (violates UI standards), JE020 cross-reference validation not fully integrated (missing visual indicator and navigation)</t>
  </si>
  <si>
    <t>Maintenance screen for account group template records with inline editing across events, keywords, and account groups</t>
  </si>
  <si>
    <t>~78% feature parity achieved</t>
  </si>
  <si>
    <t>18 identified (8 CRITICAL, 6 MODERATE, 4 LOW)</t>
  </si>
  <si>
    <t>Full CRUD operations, Inline grid editing with visual state indicators, Lookup data management (Events, Keywords, Clear Types, Account Groups), Bulk save with transaction processing, Row state tracking</t>
  </si>
  <si>
    <t>Complex business rules (VALIDATE_REVERSAL_SIGN_ON_DELETING_RECORD, REVERSE_SIGN_FLIPPED), History/audit functionality, Primary key change handling verification, QARCH_CNFG_CTRL configuration integration, Grid column configuration from metadata</t>
  </si>
  <si>
    <t>Query and execution screen for JE posting control with batch job submission for JEPOSTONLY, TAXJEPOST, and TAXCOMBO processes</t>
  </si>
  <si>
    <t>15 identified (8 CRITICAL, 5 MODERATE, 2 LOW)</t>
  </si>
  <si>
    <t>Master-detail grid layout, Filter panel with all search criteria, Parent grid (20+ columns) and child grid, Multi-select support, Basic query functionality, Prevent Posting flag updates, Security and permission checks</t>
  </si>
  <si>
    <t>Batch job integration (cannot actually post JE batches), Clean/Undo/Rerun functionality, Comment requirements for prevent posting, Advanced validation rules, Reports integration, Configuration features</t>
  </si>
  <si>
    <t>14 identified (7 CRITICAL, 5 MODERATE, 2 LOW)</t>
  </si>
  <si>
    <t>Query screen for GL History detail records with tax and adjustment category child grids</t>
  </si>
  <si>
    <t>10 identified (4 CRITICAL, 4 MODERATE, 2 LOW)</t>
  </si>
  <si>
    <t>Three-panel layout (main grid + two child grids), Comprehensive filter panel with required filter validation, 30+ display columns with LEFT JOINs, Tax child grid and Adjustment child grid, Totals calculation, BOOK_REV_WELL_COMPL configuration</t>
  </si>
  <si>
    <t>Excel export, Bulk edit/copy feature, Grid aggregation in footer, Grid configuration from metadata, Negative value styling, Filter row in grid header</t>
  </si>
  <si>
    <t>~55% feature parity achieved</t>
  </si>
  <si>
    <t>31 identified (18 CRITICAL, 13 MODERATE)</t>
  </si>
  <si>
    <t>Query and execution screen for GL History reversal batches with flag toggle and batch processing</t>
  </si>
  <si>
    <t>8 identified (0 CRITICAL, 3 MODERATE, 5 LOW)</t>
  </si>
  <si>
    <t>Complete filter panel (11 filters), Multi-select grid with reversal flag toggle, Transaction total calculation, Bulk execution with validation, Control record creation, User-scoped staging queries, All 10 business rules implemented</t>
  </si>
  <si>
    <t>Batch process launch deferred (requires QP043), Progress dialog missing, Numeric fields use MudNumericField (minor UI issue)</t>
  </si>
  <si>
    <t>8 identified (4 CRITICAL, 3 MODERATE, 1 LOW)</t>
  </si>
  <si>
    <t>28 identified (15 CRITICAL, 8 MODERATE, 5 LOW)</t>
  </si>
  <si>
    <t>Query screen for market group records with inquiry date filtering; navigation to MG006 maintenance screen</t>
  </si>
  <si>
    <t>~60% feature parity achieved (Query only)</t>
  </si>
  <si>
    <t>Query functionality with comprehensive filters (Property, DO Type, Tier, Major Product, Market Group Type/Status, Owner/Market Rep, Inquiry Date), Results grid, Maintenance navigation, Inquiry date logic, Security checks</t>
  </si>
  <si>
    <t>MG006 Maintenance screen (full CRUD, validation, business rules), 25+ business rules, Batch integration (GMI calculation, reversal creation, DO market group creation), Market group type-based security, Detail grid editing</t>
  </si>
  <si>
    <t>18 identified (11 CRITICAL, 7 MODERATE)</t>
  </si>
  <si>
    <t>ML006 (SOD DRI Links) manages the cross-reference between Master Input (MI/DRI - Direct Revenue Input) records and SOD (Sales Order Deck) contracts. This is a critical screen for revenue accounting that links remitter statements to sales contracts for revenue distribution calculations.</t>
  </si>
  <si>
    <t>18 identified (10 CRITICAL, 5 MODERATE, 3 LOW)</t>
  </si>
  <si>
    <t>Filter/query functionality with 9 filter criteria; Grid display with 18 columns from legacy GRID_ID 9105; Inline editing for SOD Contract No and SOD Group No; Row state tracking (Modified/Deleted visual indicators); Bulk save with validation (SAVE_ONLY_APPROVED_SOD_CONTRACTS, CHECK_FOR_SOD_CONTRACTS); Delete and undo delete actions; Basic security check (QFRMSODDRILINKS); Read-only Playwright E2E tests; Component tests (instantiation, routing, access control)</t>
  </si>
  <si>
    <t>Mass Insert functionality (bulk creation of SOD links); Effective date logic (end-dating creates new row); Effective date overlap validation (EFFECTIVE_DATE_RXRF_MI_SOD_OVERLAP_CHECK); Multiple contracts validation (VALIDATE_MULTIPLE_CONTRACTS); SOD contract/group autocomplete with search; RELAX_UPDATE_PERMISSIONS framework-level permission logic; Excel Import/Export functionality; Configuration-driven column visibility; PPN (Post Process Notification) record creation for downstream batch processing; VL finalization status check (read-only when finalized)</t>
  </si>
  <si>
    <t>Complex multi-tab maintenance screen for well completion master data with 11 functional tabs including effective dates, operators, theo rules, and land/legal</t>
  </si>
  <si>
    <t>29+ identified (12+ CRITICAL in header, plus more in child tabs)</t>
  </si>
  <si>
    <t>Basic CRUD for main header, Well completion search/lookup, Primary key fields and location fields, GPS coordinates, Classification fields, Approval workflow, Code table lookups (Countries, States, etc.), Read-only child data tabs (Effective Dates, Operators, Theo Rules, Land/Legal)</t>
  </si>
  <si>
    <t>7 of 11 child tabs (editable grids not implemented), Parent well completion picker, Associated cost center picker, Configuration-driven field visibility (BookRevWellLvl, WcHideProspect), 17 validation rules, Complex QPA integration, Field/Well/Completion validation</t>
  </si>
  <si>
    <t>PN010</t>
  </si>
  <si>
    <t>PPN Comments Dialog</t>
  </si>
  <si>
    <t>~10% feature parity achieved</t>
  </si>
  <si>
    <t>~70% feature parity achieved (updated 2026-01-14)</t>
  </si>
  <si>
    <t>22 identified (16 CRITICAL, 6 MODERATE) - 6 items completed in recent work</t>
  </si>
  <si>
    <t>Real-time process execution monitoring with steps, parameters, children, messages, and locks display</t>
  </si>
  <si>
    <t>Complete process header display with all key fields, 5 tabbed sections (Steps, Parameters, Children, Messages, Locks), Process cancellation functionality, Recursive child process loading, Navigation between related processes, Security access control</t>
  </si>
  <si>
    <t>Auto-refresh timer (configurable 30-600 seconds), Message type multi-select filtering, Process hierarchy visualization enhancements, "View More Messages" pagination</t>
  </si>
  <si>
    <t>Process launcher for QRA batch processes with parameter management, server/step selection, and scheduling</t>
  </si>
  <si>
    <t>~45% feature parity achieved</t>
  </si>
  <si>
    <t>Process type/selection dropdowns, Step selection (if allowed), Server/Server group selection, Debug mode checkbox, Quick schedule, Basic parameter input (text, number, date, boolean, code table), Process execution, Saved parameters (partial), Security checks</t>
  </si>
  <si>
    <t>Parameter validation framework, Advanced parameter types (multi-value, range, dependent, file picker), Favorites system, Recent processes, Linked reports, Business rules integration, Real-time execution feedback</t>
  </si>
  <si>
    <t>Query screen for batch process queue with filtering by status, dates, user, and module context</t>
  </si>
  <si>
    <t>~70% feature parity achieved</t>
  </si>
  <si>
    <t>20 identified (7 CRITICAL, 8 MODERATE, 5 LOW)</t>
  </si>
  <si>
    <t>Process Queue ID/Process ID filters, Status/Status Category dropdowns, User ID filter, Max Rows selector, Queue Date From/To pickers, Master Process Queue ID filter, Results grid with 11+ columns, Navigation to QP010, Duration calculation, Security check</t>
  </si>
  <si>
    <t>Module code filtering, Grid configuration from metadata (33 columns in metadata), Filter persistence, Context menu actions, "More All" functionality, Column sorting/filtering configuration, Process cancellation UI</t>
  </si>
  <si>
    <t>Report launcher for QRA reports with output format selection (PDF, Excel, CSV, HTML) and parameter management</t>
  </si>
  <si>
    <t>Report type/selection dropdowns, Output format selection, Basic parameter grid rendering, Saved parameter sets (local/global), Schedule for later, Last process queue ID display, Execute button, Server selection, Security checks</t>
  </si>
  <si>
    <t>Process step selection, Server group selection, Progress monitoring, Parameter dependencies, Linked reports, Business rules integration, Favorites integration, Real-time execution feedback</t>
  </si>
  <si>
    <t>RC010</t>
  </si>
  <si>
    <t>Measurement Point Contract Cross Reference</t>
  </si>
  <si>
    <t>RC010 manages the cross-reference relationships between Measurement Points and Contracts, including related sales contracts for service-type contracts. This is a critical masterfile screen that supports revenue allocation and contract processing workflows.</t>
  </si>
  <si>
    <t>~0% feature parity achieved - NO BLAZOR IMPLEMENTATION EXISTS</t>
  </si>
  <si>
    <t>45+ identified (35 CRITICAL, 10 MODERATE)</t>
  </si>
  <si>
    <t>18 identified (8 CRITICAL, 7 MODERATE, 3 LOW)</t>
  </si>
  <si>
    <t>RD015</t>
  </si>
  <si>
    <t>Valuation Reversal Source File Query</t>
  </si>
  <si>
    <t>18 identified (9 CRITICAL, 9 MODERATE)</t>
  </si>
  <si>
    <t>31 identified (18 CRITICAL, 9 MODERATE, 4 LOW)</t>
  </si>
  <si>
    <t>Manages data imports across 316 staging tables (ASTG, GSTG, KSTG, PSTG, RSTG) with file upload, parsing, validation, and processing</t>
  </si>
  <si>
    <t>~15% feature parity achieved (UI prototype only)</t>
  </si>
  <si>
    <t>32 identified (18 CRITICAL, 8 MODERATE, 6 LOW)</t>
  </si>
  <si>
    <t>Basic page layout, Security check, Table selection dropdown (8 hardcoded - non-existent tables), Filter section (Business Segment, Status, Load Date), Results grid prototype, Action buttons (mock), Summary statistics panel, Sample data generation</t>
  </si>
  <si>
    <t>Complete backend service implementation (0%), 30+ real staging table grid configurations, Dynamic table selection, File upload/parsing engine, Data validation engine, Error tracking, Batch processing integration, Stored procedure execution, TMPL_TYPE_CD/SRC_SYS_CD/PKG_CD management, Status workflow</t>
  </si>
  <si>
    <t>~15% feature parity achieved (UI shell only with mock data)</t>
  </si>
  <si>
    <t>48 identified (28 CRITICAL, 15 MODERATE, 5 LOW)</t>
  </si>
  <si>
    <t>Query screen for severance tax input records with SHOW_TS_RRIDS configuration support and comprehensive filtering</t>
  </si>
  <si>
    <t>7 identified (0 CRITICAL, 3 MODERATE, 4 LOW)</t>
  </si>
  <si>
    <t>Search/filter panel with 15 filters (Business Segment, Tax Input No, Revenue Run ID, Well/Completion, Property, MP, Tax Type, Major Product/Product, Production Date, Accounting Month, State, Tax Class, Reversal Flag), Results grid with 17+ columns (conditional RPTD_RVNU_RUN_ID and RVSL_RVNU_RUN_ID), Computed properties for effective values, Service layer with dynamic SQL, SHOW_TS_RRIDS configuration flag, Security checks, Navigation to TS006</t>
  </si>
  <si>
    <t>Excel export functionality, Detail screen (TS006) may be incomplete, Grid configuration from metadata, Bulk operations</t>
  </si>
  <si>
    <t>TS010</t>
  </si>
  <si>
    <t>Texas Tax Master</t>
  </si>
  <si>
    <t>~0% - SCREEN NOT YET MIGRATED</t>
  </si>
  <si>
    <t>48 identified (32 CRITICAL, 11 MODERATE, 5 LOW)</t>
  </si>
  <si>
    <t>TX005</t>
  </si>
  <si>
    <t>State Tax Information Query</t>
  </si>
  <si>
    <t>~0% feature parity achieved (NO BLAZOR IMPLEMENTATION EXISTS)</t>
  </si>
  <si>
    <t>28 identified (18 CRITICAL, 10 MODERATE)</t>
  </si>
  <si>
    <t>8 identified (4 CRITICAL, 4 MODERATE)</t>
  </si>
  <si>
    <t>6 identified (3 CRITICAL, 3 MODERATE)</t>
  </si>
  <si>
    <t>Query screen for volume allocation results from VACALC batch process with detailed transaction data</t>
  </si>
  <si>
    <t>6 identified (2 CRITICAL, 4 MODERATE)</t>
  </si>
  <si>
    <t>Filter panel UI (11 filters), Results grid structure (15 columns), Detail dialog with 6 sections, Service layer fully designed, Complete DTO mapping</t>
  </si>
  <si>
    <t>Service methods not connected (displays sample data only), Code table dropdowns hardcoded, Query filter validation missing, Detail dialog missing child grids (taxes/adjustments)</t>
  </si>
  <si>
    <t>Query screen for DOI accounting data records with comprehensive filters; navigation to VL006 maintenance screen (not implemented)</t>
  </si>
  <si>
    <t>~30% feature parity achieved (Query only)</t>
  </si>
  <si>
    <t>16 identified (8 CRITICAL, 5 MODERATE, 3 LOW)</t>
  </si>
  <si>
    <t>Query screen with comprehensive filters (Property, DO Type/Maj Prod, Tier, Major Product, Payment MP, VL Proc Type, Book Lag Time, Activity DO, Current/Historical DO, Lease Use, Well/Completion, Business Unit, Effective dates), Results grid with 17+ columns, Detail dialog for viewing records, Autocomplete search, Security checks, Service layer with Dapper queries</t>
  </si>
  <si>
    <t>VL006 Maintenance screen (complete CRUD operations), Tax Types detail grid (RONL_DO_ACCTG_DATA_TAX), 15+ complex business rules, Desk ID cross-reference management, Effective dating overlap validation, Build Tax Types automation, Field-level validation based on booked production dates, History/audit tracking</t>
  </si>
  <si>
    <t>~30% feature parity achieved (Query-only implementation)</t>
  </si>
  <si>
    <t>42 identified (28 CRITICAL, 14 MODERATE)</t>
  </si>
  <si>
    <t>Grid-based bulk maintenance for DRI (MI) Link effective date records with read-only state management and complex business rules</t>
  </si>
  <si>
    <t>~75-80% feature parity achieved</t>
  </si>
  <si>
    <t>22 identified (8 CRITICAL, 10 MODERATE, 4 LOW)</t>
  </si>
  <si>
    <t>Query panel with filters (Business Segment, Remitter, DRI Input ID, Major Product, Property, Desk ID, Eff Date range, Max Rows, Include Inactive), Grid display with 24+ columns, Add/Edit/Delete rows with inline editing, Bulk save with transaction support, Row state tracking, Unsaved changes warning, Read-only state management (VL Finalized, MI Processed), VL Process Type validation, Well/Completion Major Product cross-reference, PPN record generation, RXRF_MI_SOD management, Contract validation, Effective date overlap check, Security check</t>
  </si>
  <si>
    <t>Mass changes feature (VL026 integration), Legacy PPA flag validation, Contract market rep validation, Allocation basis validation, Auto-population logic (Desk ID, Standard Pressure), Comments integration, Granular security (Read vs Write permissions), Audit trail enhancement</t>
  </si>
  <si>
    <t>12 identified (7 CRITICAL, 5 MODERATE)</t>
  </si>
  <si>
    <t>Revenue selection and submittal screen with 6 tabs (CA, MI, PPN, Rejects, Impaired) for submitting records to BKRVNU batch process</t>
  </si>
  <si>
    <t>~15% feature parity achieved (Prototype only)</t>
  </si>
  <si>
    <t>47+ identified (majority CRITICAL)</t>
  </si>
  <si>
    <t>Basic page layout and styling, Filter criteria UI, Simple data grid display, Mock action buttons, Sample data generation</t>
  </si>
  <si>
    <t>Real data service layer, 6 dedicated tabs for different record types (CA, MI, 4 PPN sub-tabs, Rejects, Impaired), PPN functionality, Batch process integration, Complex validation rules, Multi-grid selection coordination, Revenue run ID generation/tracking, 8 database views integration, 4 staging/snapshot tables, Related MI child validation, DRI validation for MDR calculations</t>
  </si>
  <si>
    <t>Major Feature</t>
  </si>
  <si>
    <t>Minor Feature</t>
  </si>
  <si>
    <t>Priority for My Q Accounting</t>
  </si>
  <si>
    <t>General Notes</t>
  </si>
  <si>
    <t>Status in .Net POC</t>
  </si>
  <si>
    <t>POC Notes</t>
  </si>
  <si>
    <t>QFC Security</t>
  </si>
  <si>
    <t>Screens Use Group Level Security</t>
  </si>
  <si>
    <t>1 - Critical</t>
  </si>
  <si>
    <t>Screen to Add/Modify Users</t>
  </si>
  <si>
    <t>Screen to Modify Groups</t>
  </si>
  <si>
    <t>Screen Defaults</t>
  </si>
  <si>
    <t>2 - Very High</t>
  </si>
  <si>
    <t>Contextual Defaulting</t>
  </si>
  <si>
    <t>UI Automation Framework</t>
  </si>
  <si>
    <t>Screen Modified State</t>
  </si>
  <si>
    <t>Grids</t>
  </si>
  <si>
    <t>editable (Enterprise level)</t>
  </si>
  <si>
    <t>copy paste</t>
  </si>
  <si>
    <t>bulk update</t>
  </si>
  <si>
    <t>grid row state / status</t>
  </si>
  <si>
    <t>deleted row status</t>
  </si>
  <si>
    <t>Pick Lists</t>
  </si>
  <si>
    <t>Picklists available on screens</t>
  </si>
  <si>
    <t>User types and it uses pick list</t>
  </si>
  <si>
    <t>Fill in multiple screen values from pick list selection</t>
  </si>
  <si>
    <t>Notes</t>
  </si>
  <si>
    <t>Documents</t>
  </si>
  <si>
    <t>Entity Level Integration</t>
  </si>
  <si>
    <t>Validation Engine / Framework</t>
  </si>
  <si>
    <t>disable / enable</t>
  </si>
  <si>
    <t>Code Tables</t>
  </si>
  <si>
    <t>Drop Downs on Screens</t>
  </si>
  <si>
    <t>Metadata Driven Code Tables (Customizable)</t>
  </si>
  <si>
    <t>Code Table Editor</t>
  </si>
  <si>
    <t>UI Validation Framework</t>
  </si>
  <si>
    <t>high lighting and tool tip</t>
  </si>
  <si>
    <t>info / error / warning</t>
  </si>
  <si>
    <t>bread crumbing</t>
  </si>
  <si>
    <t>Message Center (centralized logging)</t>
  </si>
  <si>
    <t>persist across sessions</t>
  </si>
  <si>
    <t>Application Insights (Heavy messaging)</t>
  </si>
  <si>
    <t>Report Launching</t>
  </si>
  <si>
    <t>Report Launcher Screen</t>
  </si>
  <si>
    <t>Launch Reports from Specific Screens</t>
  </si>
  <si>
    <t>Batch Process Launching</t>
  </si>
  <si>
    <t>Batch Launcher Screen</t>
  </si>
  <si>
    <t>Launch Batch from Specific Screens</t>
  </si>
  <si>
    <t xml:space="preserve">Quick Search </t>
  </si>
  <si>
    <t>Screens</t>
  </si>
  <si>
    <t>Reports/Batch</t>
  </si>
  <si>
    <t>3 - High</t>
  </si>
  <si>
    <t>Favorites</t>
  </si>
  <si>
    <t>4 - Medium</t>
  </si>
  <si>
    <t>Screen State (change cart)</t>
  </si>
  <si>
    <t>Validate before leaving screen</t>
  </si>
  <si>
    <t>Application State</t>
  </si>
  <si>
    <t>Remembers history between logins</t>
  </si>
  <si>
    <t>Metadata</t>
  </si>
  <si>
    <t>Metadata Driven Grids</t>
  </si>
  <si>
    <t>5 - Low</t>
  </si>
  <si>
    <t>Personas</t>
  </si>
  <si>
    <t>Dashboard</t>
  </si>
  <si>
    <t>Dashboard Customization per User</t>
  </si>
  <si>
    <t>Menus</t>
  </si>
  <si>
    <t>Common UI/UX</t>
  </si>
  <si>
    <t>Screen Registration + Overrides / New</t>
  </si>
  <si>
    <t>re-route "new" screens for same links</t>
  </si>
  <si>
    <t>Light Saves</t>
  </si>
  <si>
    <t>all data for save is not in the browser.</t>
  </si>
  <si>
    <t>Date/Time handling</t>
  </si>
  <si>
    <t>"end of time"</t>
  </si>
  <si>
    <t>Overlapping Effective Dates</t>
  </si>
  <si>
    <t>Culture support</t>
  </si>
  <si>
    <t>Do we need this in a US only product?</t>
  </si>
  <si>
    <t xml:space="preserve">Grids </t>
  </si>
  <si>
    <t>Do we need grid definitions that can be configred?</t>
  </si>
  <si>
    <t>Do we need configurable code tables outside of being able to add values to code tables?  Do the screens really need different ones?</t>
  </si>
  <si>
    <t>Screen Layout</t>
  </si>
  <si>
    <t>Do we need grid + form for data entry or just for view?</t>
  </si>
  <si>
    <t xml:space="preserve">Sessions </t>
  </si>
  <si>
    <t>Do we need the robust session handling where a user can walk away and come back to their screens all being open with the right data?</t>
  </si>
  <si>
    <t>Dev Priority</t>
  </si>
  <si>
    <t>ID</t>
  </si>
  <si>
    <t>Title</t>
  </si>
  <si>
    <t>NAME</t>
  </si>
  <si>
    <t>CODE</t>
  </si>
  <si>
    <t>CODE: NAME</t>
  </si>
  <si>
    <t>00 EAM - Screens - Screen Inventory and Prioritization</t>
  </si>
  <si>
    <t>JE102: Accounting Month Roll Date - Smoke Test</t>
  </si>
  <si>
    <t>01 EAM - Foundation - QRA Repo Setup</t>
  </si>
  <si>
    <t>Check Register Details</t>
  </si>
  <si>
    <t>CW006</t>
  </si>
  <si>
    <t>CW006: Check Register Details - Smoke Test</t>
  </si>
  <si>
    <t>01.1 EAM - Screens - Mitigate Dual Maintenance During Development</t>
  </si>
  <si>
    <t>CW005: Check Register Query/View - Smoke Test</t>
  </si>
  <si>
    <t>01.2 EAM - Screens - Verify POC Screens are Functional on .NET 10</t>
  </si>
  <si>
    <t>Contract Allocation Flow Grid Desk ID</t>
  </si>
  <si>
    <t>DI075</t>
  </si>
  <si>
    <t>DI075: Contract Allocation Flow Grid Desk ID - Smoke Test</t>
  </si>
  <si>
    <t>01.4 EAM - Foundation - Metadata and Configuration</t>
  </si>
  <si>
    <t>Contract Desk ID</t>
  </si>
  <si>
    <t>DI025</t>
  </si>
  <si>
    <t>DI025: Contract Desk ID - Smoke Test</t>
  </si>
  <si>
    <t>6 - Do Not Need</t>
  </si>
  <si>
    <t>02 EAM - Screens - Pilot Screen Robot Training</t>
  </si>
  <si>
    <t>RC005: Contract Maintenance - Smoke Test</t>
  </si>
  <si>
    <t>03 EAM - Screens - Direct Revenue Input</t>
  </si>
  <si>
    <t>Desk ID Flow Grid Summary</t>
  </si>
  <si>
    <t>DI005</t>
  </si>
  <si>
    <t>DI005: Desk ID Flow Grid Summary - Smoke Test</t>
  </si>
  <si>
    <t>04 EAM - Screens - Journal Entry - JE Processing Screens</t>
  </si>
  <si>
    <t>Desk ID Revenue Check Input</t>
  </si>
  <si>
    <t>DI015</t>
  </si>
  <si>
    <t>DI015: Desk ID Revenue Check Input - Smoke Test</t>
  </si>
  <si>
    <t>05 EAM - Screens- Journal Entry - Setup Screens</t>
  </si>
  <si>
    <t>Desk ID Revenue Flow Grid Summary</t>
  </si>
  <si>
    <t>DI010</t>
  </si>
  <si>
    <t>DI010: Desk ID Revenue Flow Grid Summary - Smoke Test</t>
  </si>
  <si>
    <t>06 EAM - Screens - Revenue Distribution - Processing</t>
  </si>
  <si>
    <t>Desk ID Revenue Valuation</t>
  </si>
  <si>
    <t>DI020</t>
  </si>
  <si>
    <t>DI020: Desk ID Revenue Valuation - Smoke Test</t>
  </si>
  <si>
    <t>07 EAM - Screens - Revenue Distribution - Setup</t>
  </si>
  <si>
    <t>Direct Revenue Input</t>
  </si>
  <si>
    <t>VL031: Direct Revenue Input - Smoke Test</t>
  </si>
  <si>
    <t>08 EAM - Screens - Advanced Filter Mechanism</t>
  </si>
  <si>
    <t>Gas Balancing Agreement Desk ID</t>
  </si>
  <si>
    <t>DI040</t>
  </si>
  <si>
    <t>DI040: Gas Balancing Agreement Desk ID - Smoke Test</t>
  </si>
  <si>
    <t>09 EAM - Screens - Direct Revenue Input - Upload</t>
  </si>
  <si>
    <t>Gas Balancing Selection</t>
  </si>
  <si>
    <t>GB010</t>
  </si>
  <si>
    <t>GB010: Gas Balancing Selection - Smoke Test</t>
  </si>
  <si>
    <t>10 EAM - Screens - Revenue Distribution - Query Screens</t>
  </si>
  <si>
    <t>Gas Imbalance Browse</t>
  </si>
  <si>
    <t>GB020</t>
  </si>
  <si>
    <t>GB020: Gas Imbalance Browse - Smoke Test</t>
  </si>
  <si>
    <t>11 EAM - Screens - Revenue Distribution - PPN</t>
  </si>
  <si>
    <t>Gas Reserves Override</t>
  </si>
  <si>
    <t>GB025</t>
  </si>
  <si>
    <t>GB025: Gas Reserves Override - Smoke Test</t>
  </si>
  <si>
    <t>12 EAM - Screens - Journal Entry - Query Screens</t>
  </si>
  <si>
    <t>JE111: GL History Detail Query - Smoke Test</t>
  </si>
  <si>
    <t>13 EAM - Screens - Journal Entry - Manual Journal Entry Screens</t>
  </si>
  <si>
    <t>JE110: GL MTD Detail Query - Smoke Test</t>
  </si>
  <si>
    <t>14 EAM - Screens  - Journal Entry - Reversal Screens</t>
  </si>
  <si>
    <t>JE100: JE Post Selection/Submittal - Smoke Test</t>
  </si>
  <si>
    <t>15 EAM - Screen - Check Write</t>
  </si>
  <si>
    <t>Manual Input Upload</t>
  </si>
  <si>
    <t>VL032: Manual Input Upload - Smoke Test</t>
  </si>
  <si>
    <t>16 EAM - Screens - Tax and Reg</t>
  </si>
  <si>
    <t>JE210: Manual JE Batch Approval - Smoke Test</t>
  </si>
  <si>
    <t>17 EAM - Screens - Esuite/Esuite Linking (Business Associates)</t>
  </si>
  <si>
    <t>JE205: Manual JE Batch Maintenance - Smoke Test</t>
  </si>
  <si>
    <t>18 EAM - Screens - Division of Interest</t>
  </si>
  <si>
    <t>Manual JE Batch Query</t>
  </si>
  <si>
    <t>JE220</t>
  </si>
  <si>
    <t>JE220: Manual JE Batch Query - Smoke Test</t>
  </si>
  <si>
    <t>19 EAM - Screens - System and Admin - Maintence App Screens</t>
  </si>
  <si>
    <t>Marketing/GL Pipeline Desk ID</t>
  </si>
  <si>
    <t>DI085</t>
  </si>
  <si>
    <t>DI085: Marketing/GL Pipeline Desk ID - Smoke Test</t>
  </si>
  <si>
    <t>20 EAM - Screens - System and Admin - Security</t>
  </si>
  <si>
    <t>MMS Royalty Desk ID</t>
  </si>
  <si>
    <t>DI065</t>
  </si>
  <si>
    <t>DI065: MMS Royalty Desk ID - Smoke Test</t>
  </si>
  <si>
    <t>21 EAM - Screens - 12 - System and Admin - Batch and Report</t>
  </si>
  <si>
    <t>MMS Volume Reporting Desk ID</t>
  </si>
  <si>
    <t>DI060</t>
  </si>
  <si>
    <t>DI060: MMS Volume Reporting Desk ID - Smoke Test</t>
  </si>
  <si>
    <t>22 EAM - Screens - Master Data/Production/Gas Balancing</t>
  </si>
  <si>
    <t>Payment Level MP Desk ID</t>
  </si>
  <si>
    <t>DI070</t>
  </si>
  <si>
    <t>DI070: Payment Level MP Desk ID - Smoke Test</t>
  </si>
  <si>
    <t>23 EAM - Performance Testing and Optimization (DRI Footprint)</t>
  </si>
  <si>
    <t>RC036: Price Terms Maintenance - Smoke Test</t>
  </si>
  <si>
    <t>24 EAM - Foundation - QDO Repo Setup</t>
  </si>
  <si>
    <t>PR005: Property - Smoke Test</t>
  </si>
  <si>
    <t>EAM - Cross-Team Assistance Requests</t>
  </si>
  <si>
    <t>Property Query</t>
  </si>
  <si>
    <t>PR004</t>
  </si>
  <si>
    <t>PR004: Property Query - Smoke Test</t>
  </si>
  <si>
    <t>EAM - Foundation - Data Access Layer</t>
  </si>
  <si>
    <t>RD031: RD Post Tracking Results - Smoke Test</t>
  </si>
  <si>
    <t>EAM - Foundation - Security and Screen Access Control</t>
  </si>
  <si>
    <t>Revenue/Pipeline Desk ID</t>
  </si>
  <si>
    <t>DI080</t>
  </si>
  <si>
    <t>DI080: Revenue/Pipeline Desk ID - Smoke Test</t>
  </si>
  <si>
    <t>EAM - Foundation - Web Application Framework</t>
  </si>
  <si>
    <t>Schedule Maintenance</t>
  </si>
  <si>
    <t>RC045</t>
  </si>
  <si>
    <t>RC045: Schedule Maintenance - Smoke Test</t>
  </si>
  <si>
    <t>EAM - MCP Tools</t>
  </si>
  <si>
    <t>JE101: Subledger Detail Query - Smoke Test</t>
  </si>
  <si>
    <t>EAM - Screens - Review POC screens</t>
  </si>
  <si>
    <t>Tax and Reg State Tax Desk ID</t>
  </si>
  <si>
    <t>DI055</t>
  </si>
  <si>
    <t>DI055: Tax and Reg State Tax Desk ID - Smoke Test</t>
  </si>
  <si>
    <t>EAM - Testing - E2E Automated Tests (DRI Footprint)</t>
  </si>
  <si>
    <t>Tax and Reg Volumetric Desk ID</t>
  </si>
  <si>
    <t>DI050</t>
  </si>
  <si>
    <t>DI050: Tax and Reg Volumetric Desk ID - Smoke Test</t>
  </si>
  <si>
    <t>EAM - Training and Documentation (DRI Footprint)</t>
  </si>
  <si>
    <t>CW020: Void Check Maintenance - Smoke Test</t>
  </si>
  <si>
    <t>EAM - UI/Platform Issues</t>
  </si>
  <si>
    <t>PD035: Well Completion - Smoke Test</t>
  </si>
  <si>
    <t>Well Property Cross Reference</t>
  </si>
  <si>
    <t>SP025: Well Property Cross Reference - Smoke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</si>
</sst>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0.5"/>
      <color theme="1"/>
      <name val="Calibri"/>
      <family val="2"/>
    </font>
    <font>
      <b/>
      <sz val="11"/>
      <color theme="1"/>
      <name val="Aptos Narrow"/>
      <family val="2"/>
      <scheme val="minor"/>
    </font>
    <font>
      <sz val="11"/>
      <color rgb="FF242424"/>
      <name val="Aptos Narrow"/>
      <charset val="1"/>
    </font>
    <font>
      <sz val="13"/>
      <color rgb="FF000000"/>
      <name val="Aptos Narrow"/>
      <charset val="1"/>
    </font>
    <font>
      <sz val="10.5"/>
      <color theme="1"/>
      <name val="Aptos Narrow"/>
      <family val="2"/>
      <scheme val="minor"/>
    </font>
    <font>
      <sz val="11"/>
      <color rgb="FF242424"/>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vertical="center"/>
    </xf>
    <xf numFmtId="0" fontId="0" fillId="2" borderId="0" xfId="0" applyFill="1"/>
    <xf numFmtId="0" fontId="1" fillId="2" borderId="0" xfId="0" applyFont="1" applyFill="1" applyAlignment="1">
      <alignment vertical="center"/>
    </xf>
    <xf numFmtId="0" fontId="0" fillId="3" borderId="0" xfId="0" applyFill="1"/>
    <xf numFmtId="0" fontId="0" fillId="4" borderId="0" xfId="0" applyFill="1"/>
    <xf numFmtId="0" fontId="0" fillId="0" borderId="0" xfId="0" applyAlignment="1">
      <alignment wrapText="1"/>
    </xf>
    <xf numFmtId="9" fontId="0" fillId="0" borderId="0" xfId="0" applyNumberFormat="1"/>
    <xf numFmtId="0" fontId="2" fillId="0" borderId="0" xfId="0" applyFont="1"/>
    <xf numFmtId="0" fontId="3" fillId="0" borderId="0" xfId="0" applyFont="1"/>
    <xf numFmtId="0" fontId="4" fillId="0" borderId="0" xfId="0" applyFont="1"/>
    <xf numFmtId="0" fontId="0" fillId="0" borderId="0" xfId="0" applyAlignment="1">
      <alignment vertical="center"/>
    </xf>
    <xf numFmtId="0" fontId="6" fillId="0" borderId="0" xfId="0" applyFont="1"/>
    <xf numFmtId="1" fontId="0" fillId="0" borderId="0" xfId="0" applyNumberFormat="1"/>
    <xf numFmtId="0" fontId="5" fillId="0" borderId="0" xfId="0" applyFont="1" applyAlignment="1">
      <alignment vertical="center"/>
    </xf>
    <xf numFmtId="0" fontId="0" fillId="2" borderId="0" xfId="0" applyFill="1" applyAlignment="1">
      <alignment vertical="center" wrapText="1"/>
    </xf>
    <xf numFmtId="0" fontId="0" fillId="5" borderId="0" xfId="0" applyFill="1"/>
    <xf numFmtId="0" fontId="0" fillId="0" borderId="0" xfId="0" applyAlignment="1">
      <alignment vertical="top"/>
    </xf>
    <xf numFmtId="0" fontId="0" fillId="0" borderId="0" xfId="0" applyAlignment="1">
      <alignment vertical="center" wrapText="1"/>
    </xf>
  </cellXfs>
  <cellStyles count="1">
    <cellStyle name="Normal" xfId="0" builtinId="0"/>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31009-6834-45DC-99D6-2DC7F1C3CA27}">
  <dimension ref="A1:T81"/>
  <sheetViews>
    <sheetView tabSelected="1" workbookViewId="0">
      <pane ySplit="1" topLeftCell="A2" activePane="bottomLeft" state="frozen"/>
      <selection pane="bottomLeft" activeCell="F1" sqref="F1:F1048576"/>
    </sheetView>
  </sheetViews>
  <sheetFormatPr defaultRowHeight="15" customHeight="1"/>
  <cols>
    <col min="1" max="1" width="13.5703125" bestFit="1" customWidth="1"/>
    <col min="2" max="2" width="61.140625" bestFit="1" customWidth="1"/>
    <col min="3" max="3" width="15.5703125" bestFit="1" customWidth="1"/>
    <col min="4" max="4" width="9.140625" customWidth="1"/>
    <col min="5" max="6" width="38.7109375" customWidth="1"/>
    <col min="7" max="7" width="38.7109375" style="6" customWidth="1"/>
    <col min="8" max="8" width="64.7109375" customWidth="1"/>
    <col min="9" max="12" width="38.7109375" customWidth="1"/>
    <col min="13" max="14" width="9.140625" customWidth="1"/>
    <col min="15" max="15" width="10.28515625" customWidth="1"/>
    <col min="16" max="16" width="16.7109375" customWidth="1"/>
    <col min="17" max="17" width="20" customWidth="1"/>
    <col min="18" max="19" width="19.5703125" customWidth="1"/>
    <col min="20" max="20" width="33.7109375" style="6" customWidth="1"/>
  </cols>
  <sheetData>
    <row r="1" spans="1:20">
      <c r="A1" t="s">
        <v>0</v>
      </c>
      <c r="B1" t="s">
        <v>1</v>
      </c>
      <c r="C1" t="s">
        <v>2</v>
      </c>
      <c r="D1" t="s">
        <v>3</v>
      </c>
      <c r="E1" t="s">
        <v>4</v>
      </c>
      <c r="F1" t="s">
        <v>5</v>
      </c>
      <c r="G1" s="6" t="s">
        <v>6</v>
      </c>
      <c r="H1" t="s">
        <v>7</v>
      </c>
      <c r="I1" t="s">
        <v>8</v>
      </c>
      <c r="J1" t="s">
        <v>9</v>
      </c>
      <c r="K1" t="s">
        <v>10</v>
      </c>
      <c r="L1" t="s">
        <v>11</v>
      </c>
      <c r="M1" t="s">
        <v>12</v>
      </c>
      <c r="N1" t="s">
        <v>13</v>
      </c>
      <c r="O1" t="s">
        <v>14</v>
      </c>
      <c r="P1" t="s">
        <v>15</v>
      </c>
      <c r="Q1" t="s">
        <v>16</v>
      </c>
      <c r="R1" t="s">
        <v>17</v>
      </c>
      <c r="S1" t="s">
        <v>18</v>
      </c>
      <c r="T1" s="6" t="s">
        <v>19</v>
      </c>
    </row>
    <row r="2" spans="1:20">
      <c r="A2">
        <v>1</v>
      </c>
      <c r="B2" t="str">
        <f>VLOOKUP(C2,Lookups!$G$2:$H$38,2,FALSE)</f>
        <v>03 EAM - Screens - Direct Revenue Input</v>
      </c>
      <c r="C2">
        <v>1786972</v>
      </c>
      <c r="D2" t="s">
        <v>20</v>
      </c>
      <c r="E2" t="s">
        <v>21</v>
      </c>
      <c r="F2" t="s">
        <v>22</v>
      </c>
      <c r="G2" s="6" t="s">
        <v>23</v>
      </c>
      <c r="I2" t="s">
        <v>24</v>
      </c>
      <c r="J2" t="s">
        <v>25</v>
      </c>
      <c r="K2" t="s">
        <v>26</v>
      </c>
      <c r="L2" t="s">
        <v>27</v>
      </c>
      <c r="M2" t="s">
        <v>28</v>
      </c>
      <c r="N2" t="s">
        <v>28</v>
      </c>
      <c r="Q2" t="s">
        <v>29</v>
      </c>
      <c r="R2" t="s">
        <v>29</v>
      </c>
      <c r="S2" t="s">
        <v>28</v>
      </c>
    </row>
    <row r="3" spans="1:20">
      <c r="A3">
        <v>1</v>
      </c>
      <c r="B3" t="str">
        <f>VLOOKUP(C3,Lookups!$G$2:$H$38,2,FALSE)</f>
        <v>03 EAM - Screens - Direct Revenue Input</v>
      </c>
      <c r="C3">
        <v>1786972</v>
      </c>
      <c r="D3" s="11" t="s">
        <v>30</v>
      </c>
      <c r="E3" t="s">
        <v>31</v>
      </c>
      <c r="F3" t="s">
        <v>22</v>
      </c>
      <c r="G3" s="6" t="s">
        <v>32</v>
      </c>
      <c r="I3" t="s">
        <v>24</v>
      </c>
      <c r="J3" t="s">
        <v>25</v>
      </c>
      <c r="K3" t="s">
        <v>26</v>
      </c>
      <c r="L3" t="s">
        <v>33</v>
      </c>
      <c r="M3" t="s">
        <v>28</v>
      </c>
      <c r="N3" t="s">
        <v>28</v>
      </c>
      <c r="Q3" t="s">
        <v>29</v>
      </c>
      <c r="R3" t="s">
        <v>29</v>
      </c>
    </row>
    <row r="4" spans="1:20">
      <c r="A4">
        <v>1</v>
      </c>
      <c r="B4" t="str">
        <f>VLOOKUP(C4,Lookups!$G$2:$H$38,2,FALSE)</f>
        <v>03 EAM - Screens - Direct Revenue Input</v>
      </c>
      <c r="C4">
        <v>1786972</v>
      </c>
      <c r="D4" t="s">
        <v>34</v>
      </c>
      <c r="E4" t="s">
        <v>35</v>
      </c>
      <c r="F4" t="s">
        <v>22</v>
      </c>
      <c r="G4" s="6" t="s">
        <v>36</v>
      </c>
      <c r="I4" t="s">
        <v>24</v>
      </c>
      <c r="J4" t="s">
        <v>25</v>
      </c>
      <c r="K4" t="s">
        <v>26</v>
      </c>
      <c r="L4" t="s">
        <v>37</v>
      </c>
      <c r="M4" t="s">
        <v>28</v>
      </c>
      <c r="N4" t="s">
        <v>28</v>
      </c>
      <c r="Q4" t="s">
        <v>29</v>
      </c>
      <c r="R4" t="s">
        <v>29</v>
      </c>
    </row>
    <row r="5" spans="1:20">
      <c r="A5">
        <v>2</v>
      </c>
      <c r="B5" t="str">
        <f>VLOOKUP(C5,Lookups!$G$2:$H$38,2,FALSE)</f>
        <v>05 EAM - Screens- Journal Entry - Setup Screens</v>
      </c>
      <c r="C5">
        <v>1786978</v>
      </c>
      <c r="D5" s="11" t="s">
        <v>38</v>
      </c>
      <c r="E5" t="s">
        <v>39</v>
      </c>
      <c r="F5" t="s">
        <v>22</v>
      </c>
      <c r="G5" s="6" t="s">
        <v>36</v>
      </c>
      <c r="I5" t="s">
        <v>40</v>
      </c>
      <c r="J5" t="s">
        <v>41</v>
      </c>
      <c r="K5" t="s">
        <v>26</v>
      </c>
      <c r="L5" t="s">
        <v>42</v>
      </c>
      <c r="M5" t="s">
        <v>28</v>
      </c>
      <c r="N5" t="s">
        <v>28</v>
      </c>
      <c r="Q5" t="s">
        <v>29</v>
      </c>
      <c r="R5" t="s">
        <v>29</v>
      </c>
    </row>
    <row r="6" spans="1:20">
      <c r="A6">
        <v>2</v>
      </c>
      <c r="B6" t="str">
        <f>VLOOKUP(C6,Lookups!$G$2:$H$38,2,FALSE)</f>
        <v>05 EAM - Screens- Journal Entry - Setup Screens</v>
      </c>
      <c r="C6">
        <v>1786978</v>
      </c>
      <c r="D6" s="11" t="s">
        <v>43</v>
      </c>
      <c r="E6" t="s">
        <v>44</v>
      </c>
      <c r="F6" t="s">
        <v>22</v>
      </c>
      <c r="G6" s="6" t="s">
        <v>36</v>
      </c>
      <c r="I6" t="s">
        <v>40</v>
      </c>
      <c r="J6" t="s">
        <v>41</v>
      </c>
      <c r="K6" t="s">
        <v>26</v>
      </c>
      <c r="L6" t="s">
        <v>45</v>
      </c>
      <c r="M6" t="s">
        <v>28</v>
      </c>
      <c r="N6" t="s">
        <v>28</v>
      </c>
      <c r="Q6" t="s">
        <v>29</v>
      </c>
      <c r="R6" t="s">
        <v>29</v>
      </c>
    </row>
    <row r="7" spans="1:20">
      <c r="A7">
        <v>2</v>
      </c>
      <c r="B7" t="str">
        <f>VLOOKUP(C7,Lookups!$G$2:$H$38,2,FALSE)</f>
        <v>05 EAM - Screens- Journal Entry - Setup Screens</v>
      </c>
      <c r="C7">
        <v>1786978</v>
      </c>
      <c r="D7" s="11" t="s">
        <v>46</v>
      </c>
      <c r="E7" t="s">
        <v>47</v>
      </c>
      <c r="F7" t="s">
        <v>22</v>
      </c>
      <c r="G7" s="6" t="s">
        <v>36</v>
      </c>
      <c r="I7" t="s">
        <v>40</v>
      </c>
      <c r="J7" t="s">
        <v>41</v>
      </c>
      <c r="K7" t="s">
        <v>26</v>
      </c>
      <c r="L7" t="s">
        <v>48</v>
      </c>
      <c r="M7" t="s">
        <v>28</v>
      </c>
      <c r="N7" t="s">
        <v>28</v>
      </c>
      <c r="Q7" t="s">
        <v>29</v>
      </c>
      <c r="R7" t="s">
        <v>29</v>
      </c>
    </row>
    <row r="8" spans="1:20">
      <c r="A8">
        <v>2</v>
      </c>
      <c r="B8" t="str">
        <f>VLOOKUP(C8,Lookups!$G$2:$H$38,2,FALSE)</f>
        <v>05 EAM - Screens- Journal Entry - Setup Screens</v>
      </c>
      <c r="C8">
        <v>1786978</v>
      </c>
      <c r="D8" s="11" t="s">
        <v>49</v>
      </c>
      <c r="E8" t="s">
        <v>50</v>
      </c>
      <c r="F8" t="s">
        <v>22</v>
      </c>
      <c r="G8" s="6" t="s">
        <v>36</v>
      </c>
      <c r="I8" t="s">
        <v>40</v>
      </c>
      <c r="J8" t="s">
        <v>41</v>
      </c>
      <c r="K8" t="s">
        <v>26</v>
      </c>
      <c r="L8" t="s">
        <v>51</v>
      </c>
      <c r="M8" t="s">
        <v>28</v>
      </c>
      <c r="N8" t="s">
        <v>28</v>
      </c>
      <c r="Q8" t="s">
        <v>29</v>
      </c>
      <c r="R8" t="s">
        <v>29</v>
      </c>
    </row>
    <row r="9" spans="1:20">
      <c r="A9">
        <v>2</v>
      </c>
      <c r="B9" t="str">
        <f>VLOOKUP(C9,Lookups!$G$2:$H$38,2,FALSE)</f>
        <v>05 EAM - Screens- Journal Entry - Setup Screens</v>
      </c>
      <c r="C9">
        <v>1786978</v>
      </c>
      <c r="D9" s="11" t="s">
        <v>52</v>
      </c>
      <c r="E9" t="s">
        <v>53</v>
      </c>
      <c r="F9" t="s">
        <v>22</v>
      </c>
      <c r="G9" s="6" t="s">
        <v>36</v>
      </c>
      <c r="I9" t="s">
        <v>40</v>
      </c>
      <c r="J9" t="s">
        <v>41</v>
      </c>
      <c r="K9" t="s">
        <v>26</v>
      </c>
      <c r="L9" t="s">
        <v>54</v>
      </c>
      <c r="M9" t="s">
        <v>28</v>
      </c>
      <c r="N9" t="s">
        <v>28</v>
      </c>
      <c r="Q9" t="s">
        <v>29</v>
      </c>
      <c r="R9" t="s">
        <v>29</v>
      </c>
    </row>
    <row r="10" spans="1:20">
      <c r="A10">
        <v>2</v>
      </c>
      <c r="B10" t="str">
        <f>VLOOKUP(C10,Lookups!$G$2:$H$38,2,FALSE)</f>
        <v>05 EAM - Screens- Journal Entry - Setup Screens</v>
      </c>
      <c r="C10">
        <v>1786978</v>
      </c>
      <c r="D10" s="11" t="s">
        <v>55</v>
      </c>
      <c r="E10" t="s">
        <v>56</v>
      </c>
      <c r="F10" t="s">
        <v>22</v>
      </c>
      <c r="G10" s="6" t="s">
        <v>36</v>
      </c>
      <c r="I10" t="s">
        <v>40</v>
      </c>
      <c r="J10" t="s">
        <v>41</v>
      </c>
      <c r="K10" t="s">
        <v>26</v>
      </c>
      <c r="L10" t="s">
        <v>57</v>
      </c>
      <c r="M10" t="s">
        <v>28</v>
      </c>
      <c r="N10" t="s">
        <v>28</v>
      </c>
      <c r="Q10" t="s">
        <v>29</v>
      </c>
      <c r="R10" t="s">
        <v>29</v>
      </c>
    </row>
    <row r="11" spans="1:20">
      <c r="A11">
        <v>2</v>
      </c>
      <c r="B11" t="str">
        <f>VLOOKUP(C11,Lookups!$G$2:$H$38,2,FALSE)</f>
        <v>05 EAM - Screens- Journal Entry - Setup Screens</v>
      </c>
      <c r="C11">
        <v>1786978</v>
      </c>
      <c r="D11" t="s">
        <v>58</v>
      </c>
      <c r="E11" t="s">
        <v>59</v>
      </c>
      <c r="F11" t="s">
        <v>22</v>
      </c>
      <c r="G11" s="6" t="s">
        <v>36</v>
      </c>
      <c r="I11" t="s">
        <v>40</v>
      </c>
      <c r="J11" t="s">
        <v>41</v>
      </c>
      <c r="K11" t="s">
        <v>26</v>
      </c>
      <c r="L11" t="s">
        <v>60</v>
      </c>
      <c r="M11" t="s">
        <v>28</v>
      </c>
      <c r="N11" t="s">
        <v>28</v>
      </c>
      <c r="Q11" t="s">
        <v>29</v>
      </c>
      <c r="R11" t="s">
        <v>29</v>
      </c>
    </row>
    <row r="12" spans="1:20">
      <c r="A12">
        <v>3</v>
      </c>
      <c r="B12" t="str">
        <f>VLOOKUP(C12,Lookups!$G$2:$H$38,2,FALSE)</f>
        <v>06 EAM - Screens - Revenue Distribution - Processing</v>
      </c>
      <c r="C12">
        <v>1786980</v>
      </c>
      <c r="D12" t="s">
        <v>61</v>
      </c>
      <c r="E12" t="s">
        <v>62</v>
      </c>
      <c r="F12" t="s">
        <v>22</v>
      </c>
      <c r="G12" s="6" t="s">
        <v>63</v>
      </c>
      <c r="I12" t="s">
        <v>24</v>
      </c>
      <c r="J12" t="s">
        <v>25</v>
      </c>
      <c r="K12" t="s">
        <v>26</v>
      </c>
      <c r="L12" t="s">
        <v>64</v>
      </c>
      <c r="M12" t="s">
        <v>28</v>
      </c>
      <c r="O12" t="s">
        <v>28</v>
      </c>
      <c r="Q12" t="s">
        <v>28</v>
      </c>
      <c r="R12" t="s">
        <v>28</v>
      </c>
    </row>
    <row r="13" spans="1:20">
      <c r="A13">
        <v>4</v>
      </c>
      <c r="B13" t="str">
        <f>VLOOKUP(C13,Lookups!$G$2:$H$38,2,FALSE)</f>
        <v>07 EAM - Screens - Revenue Distribution - Setup</v>
      </c>
      <c r="C13">
        <v>1792384</v>
      </c>
      <c r="D13" t="s">
        <v>65</v>
      </c>
      <c r="E13" t="s">
        <v>66</v>
      </c>
      <c r="F13" t="s">
        <v>67</v>
      </c>
      <c r="G13" s="6" t="s">
        <v>68</v>
      </c>
      <c r="H13" t="s">
        <v>69</v>
      </c>
      <c r="I13" t="s">
        <v>24</v>
      </c>
      <c r="J13" t="s">
        <v>25</v>
      </c>
      <c r="K13" t="s">
        <v>26</v>
      </c>
      <c r="L13" t="s">
        <v>70</v>
      </c>
      <c r="M13" t="s">
        <v>28</v>
      </c>
      <c r="P13" t="s">
        <v>28</v>
      </c>
      <c r="Q13" t="s">
        <v>29</v>
      </c>
      <c r="R13" t="s">
        <v>29</v>
      </c>
    </row>
    <row r="14" spans="1:20">
      <c r="A14">
        <v>4</v>
      </c>
      <c r="B14" t="str">
        <f>VLOOKUP(C14,Lookups!$G$2:$H$38,2,FALSE)</f>
        <v>07 EAM - Screens - Revenue Distribution - Setup</v>
      </c>
      <c r="C14">
        <v>1792384</v>
      </c>
      <c r="D14" t="s">
        <v>71</v>
      </c>
      <c r="E14" t="s">
        <v>72</v>
      </c>
      <c r="F14" t="s">
        <v>22</v>
      </c>
      <c r="G14" s="6" t="s">
        <v>73</v>
      </c>
      <c r="H14" t="s">
        <v>74</v>
      </c>
      <c r="I14" t="s">
        <v>24</v>
      </c>
      <c r="J14" t="s">
        <v>25</v>
      </c>
      <c r="K14" t="s">
        <v>26</v>
      </c>
      <c r="L14" t="s">
        <v>75</v>
      </c>
      <c r="M14" t="s">
        <v>28</v>
      </c>
      <c r="N14" t="s">
        <v>28</v>
      </c>
      <c r="P14" t="s">
        <v>28</v>
      </c>
      <c r="Q14" t="s">
        <v>29</v>
      </c>
      <c r="R14" t="s">
        <v>29</v>
      </c>
    </row>
    <row r="15" spans="1:20">
      <c r="A15">
        <v>4</v>
      </c>
      <c r="B15" t="str">
        <f>VLOOKUP(C15,Lookups!$G$2:$H$38,2,FALSE)</f>
        <v>07 EAM - Screens - Revenue Distribution - Setup</v>
      </c>
      <c r="C15">
        <v>1792384</v>
      </c>
      <c r="D15" s="11" t="s">
        <v>76</v>
      </c>
      <c r="E15" t="s">
        <v>77</v>
      </c>
      <c r="F15" t="s">
        <v>22</v>
      </c>
      <c r="G15" s="6" t="s">
        <v>36</v>
      </c>
      <c r="I15" t="s">
        <v>24</v>
      </c>
      <c r="J15" t="s">
        <v>25</v>
      </c>
      <c r="K15" t="s">
        <v>26</v>
      </c>
      <c r="L15" t="s">
        <v>78</v>
      </c>
      <c r="M15" t="s">
        <v>28</v>
      </c>
      <c r="P15" t="s">
        <v>28</v>
      </c>
      <c r="Q15" t="s">
        <v>29</v>
      </c>
      <c r="R15" t="s">
        <v>29</v>
      </c>
    </row>
    <row r="16" spans="1:20">
      <c r="A16">
        <v>4</v>
      </c>
      <c r="B16" t="str">
        <f>VLOOKUP(C16,Lookups!$G$2:$H$38,2,FALSE)</f>
        <v>07 EAM - Screens - Revenue Distribution - Setup</v>
      </c>
      <c r="C16">
        <v>1792384</v>
      </c>
      <c r="D16" t="s">
        <v>79</v>
      </c>
      <c r="E16" t="s">
        <v>80</v>
      </c>
      <c r="F16" t="s">
        <v>22</v>
      </c>
      <c r="G16" s="6" t="s">
        <v>36</v>
      </c>
      <c r="I16" t="s">
        <v>24</v>
      </c>
      <c r="J16" t="s">
        <v>25</v>
      </c>
      <c r="K16" t="s">
        <v>26</v>
      </c>
      <c r="L16" t="s">
        <v>81</v>
      </c>
      <c r="N16" t="s">
        <v>28</v>
      </c>
      <c r="Q16" t="s">
        <v>29</v>
      </c>
      <c r="R16" t="s">
        <v>29</v>
      </c>
    </row>
    <row r="17" spans="1:19">
      <c r="A17">
        <v>5</v>
      </c>
      <c r="B17" t="str">
        <f>VLOOKUP(C17,Lookups!$G$2:$H$38,2,FALSE)</f>
        <v>04 EAM - Screens - Journal Entry - JE Processing Screens</v>
      </c>
      <c r="C17">
        <v>1792329</v>
      </c>
      <c r="D17" s="11" t="s">
        <v>82</v>
      </c>
      <c r="E17" t="s">
        <v>83</v>
      </c>
      <c r="F17" t="s">
        <v>22</v>
      </c>
      <c r="G17" s="6" t="s">
        <v>36</v>
      </c>
      <c r="I17" t="s">
        <v>40</v>
      </c>
      <c r="J17" t="s">
        <v>41</v>
      </c>
      <c r="K17" t="s">
        <v>26</v>
      </c>
      <c r="L17" t="s">
        <v>84</v>
      </c>
      <c r="M17" t="s">
        <v>28</v>
      </c>
      <c r="O17" t="s">
        <v>28</v>
      </c>
      <c r="Q17" t="s">
        <v>28</v>
      </c>
      <c r="R17" t="s">
        <v>28</v>
      </c>
      <c r="S17" t="s">
        <v>28</v>
      </c>
    </row>
    <row r="18" spans="1:19">
      <c r="A18">
        <v>5</v>
      </c>
      <c r="B18" t="str">
        <f>VLOOKUP(C18,Lookups!$G$2:$H$38,2,FALSE)</f>
        <v>04 EAM - Screens - Journal Entry - JE Processing Screens</v>
      </c>
      <c r="C18">
        <v>1792329</v>
      </c>
      <c r="D18" t="s">
        <v>85</v>
      </c>
      <c r="E18" t="s">
        <v>86</v>
      </c>
      <c r="F18" t="s">
        <v>87</v>
      </c>
      <c r="G18" s="6" t="s">
        <v>36</v>
      </c>
      <c r="H18" t="s">
        <v>88</v>
      </c>
      <c r="I18" t="s">
        <v>40</v>
      </c>
      <c r="J18" t="s">
        <v>41</v>
      </c>
      <c r="K18" t="s">
        <v>26</v>
      </c>
      <c r="L18" t="s">
        <v>89</v>
      </c>
      <c r="M18" t="s">
        <v>28</v>
      </c>
      <c r="O18" t="s">
        <v>28</v>
      </c>
      <c r="Q18" t="s">
        <v>28</v>
      </c>
      <c r="R18" t="s">
        <v>28</v>
      </c>
      <c r="S18" t="s">
        <v>28</v>
      </c>
    </row>
    <row r="19" spans="1:19">
      <c r="A19">
        <v>6</v>
      </c>
      <c r="B19" t="str">
        <f>VLOOKUP(C19,Lookups!$G$2:$H$38,2,FALSE)</f>
        <v>09 EAM - Screens - Direct Revenue Input - Upload</v>
      </c>
      <c r="C19" s="13">
        <v>1792365</v>
      </c>
      <c r="D19" t="s">
        <v>90</v>
      </c>
      <c r="E19" t="s">
        <v>91</v>
      </c>
      <c r="F19" t="s">
        <v>67</v>
      </c>
      <c r="G19" s="6" t="s">
        <v>92</v>
      </c>
      <c r="H19" t="s">
        <v>93</v>
      </c>
      <c r="I19" t="s">
        <v>24</v>
      </c>
      <c r="J19" t="s">
        <v>25</v>
      </c>
      <c r="K19" t="s">
        <v>26</v>
      </c>
      <c r="L19" t="s">
        <v>94</v>
      </c>
      <c r="M19" t="s">
        <v>28</v>
      </c>
      <c r="N19" t="s">
        <v>28</v>
      </c>
      <c r="O19" t="s">
        <v>28</v>
      </c>
      <c r="Q19" t="s">
        <v>28</v>
      </c>
      <c r="R19" t="s">
        <v>28</v>
      </c>
      <c r="S19" t="s">
        <v>28</v>
      </c>
    </row>
    <row r="20" spans="1:19">
      <c r="A20">
        <v>7</v>
      </c>
      <c r="B20" t="str">
        <f>VLOOKUP(C20,Lookups!$G$2:$H$38,2,FALSE)</f>
        <v>10 EAM - Screens - Revenue Distribution - Query Screens</v>
      </c>
      <c r="C20" s="13">
        <v>1792382</v>
      </c>
      <c r="D20" t="s">
        <v>95</v>
      </c>
      <c r="E20" t="s">
        <v>96</v>
      </c>
      <c r="F20" t="s">
        <v>67</v>
      </c>
      <c r="G20" s="6" t="s">
        <v>36</v>
      </c>
      <c r="H20" s="12" t="s">
        <v>97</v>
      </c>
      <c r="I20" t="s">
        <v>24</v>
      </c>
      <c r="J20" t="s">
        <v>25</v>
      </c>
      <c r="K20" t="s">
        <v>26</v>
      </c>
      <c r="L20" t="s">
        <v>98</v>
      </c>
      <c r="M20" t="s">
        <v>28</v>
      </c>
      <c r="Q20" t="s">
        <v>29</v>
      </c>
      <c r="R20" t="s">
        <v>29</v>
      </c>
      <c r="S20" t="s">
        <v>28</v>
      </c>
    </row>
    <row r="21" spans="1:19">
      <c r="A21">
        <v>7</v>
      </c>
      <c r="B21" t="str">
        <f>VLOOKUP(C21,Lookups!$G$2:$H$38,2,FALSE)</f>
        <v>10 EAM - Screens - Revenue Distribution - Query Screens</v>
      </c>
      <c r="C21" s="13">
        <v>1792382</v>
      </c>
      <c r="D21" t="s">
        <v>99</v>
      </c>
      <c r="E21" t="s">
        <v>100</v>
      </c>
      <c r="F21" t="s">
        <v>67</v>
      </c>
      <c r="G21" s="6" t="s">
        <v>36</v>
      </c>
      <c r="H21" s="12" t="s">
        <v>97</v>
      </c>
      <c r="I21" t="s">
        <v>24</v>
      </c>
      <c r="J21" t="s">
        <v>25</v>
      </c>
      <c r="K21" t="s">
        <v>26</v>
      </c>
      <c r="L21" t="s">
        <v>101</v>
      </c>
      <c r="M21" t="s">
        <v>28</v>
      </c>
      <c r="Q21" t="s">
        <v>29</v>
      </c>
      <c r="R21" t="s">
        <v>29</v>
      </c>
    </row>
    <row r="22" spans="1:19">
      <c r="A22">
        <v>7</v>
      </c>
      <c r="B22" t="str">
        <f>VLOOKUP(C22,Lookups!$G$2:$H$38,2,FALSE)</f>
        <v>10 EAM - Screens - Revenue Distribution - Query Screens</v>
      </c>
      <c r="C22" s="13">
        <v>1792382</v>
      </c>
      <c r="D22" t="s">
        <v>102</v>
      </c>
      <c r="E22" t="s">
        <v>103</v>
      </c>
      <c r="F22" t="s">
        <v>67</v>
      </c>
      <c r="G22" s="6" t="s">
        <v>36</v>
      </c>
      <c r="H22" s="12" t="s">
        <v>97</v>
      </c>
      <c r="I22" t="s">
        <v>24</v>
      </c>
      <c r="J22" t="s">
        <v>25</v>
      </c>
      <c r="K22" t="s">
        <v>26</v>
      </c>
      <c r="L22" t="s">
        <v>104</v>
      </c>
      <c r="M22" t="s">
        <v>28</v>
      </c>
      <c r="Q22" t="s">
        <v>29</v>
      </c>
      <c r="R22" t="s">
        <v>29</v>
      </c>
    </row>
    <row r="23" spans="1:19">
      <c r="A23">
        <v>7</v>
      </c>
      <c r="B23" t="str">
        <f>VLOOKUP(C23,Lookups!$G$2:$H$38,2,FALSE)</f>
        <v>10 EAM - Screens - Revenue Distribution - Query Screens</v>
      </c>
      <c r="C23" s="13">
        <v>1792382</v>
      </c>
      <c r="D23" t="s">
        <v>105</v>
      </c>
      <c r="E23" t="s">
        <v>106</v>
      </c>
      <c r="F23" t="s">
        <v>67</v>
      </c>
      <c r="G23" s="6" t="s">
        <v>36</v>
      </c>
      <c r="I23" t="s">
        <v>24</v>
      </c>
      <c r="J23" t="s">
        <v>25</v>
      </c>
      <c r="K23" t="s">
        <v>26</v>
      </c>
      <c r="L23" t="s">
        <v>107</v>
      </c>
      <c r="M23" t="s">
        <v>28</v>
      </c>
      <c r="O23" t="s">
        <v>28</v>
      </c>
      <c r="Q23" t="s">
        <v>28</v>
      </c>
      <c r="R23" t="s">
        <v>29</v>
      </c>
    </row>
    <row r="24" spans="1:19">
      <c r="A24">
        <v>8</v>
      </c>
      <c r="B24" t="str">
        <f>VLOOKUP(C24,Lookups!$G$2:$H$38,2,FALSE)</f>
        <v>11 EAM - Screens - Revenue Distribution - PPN</v>
      </c>
      <c r="C24" s="13">
        <v>1792387</v>
      </c>
      <c r="D24" t="s">
        <v>108</v>
      </c>
      <c r="E24" t="s">
        <v>109</v>
      </c>
      <c r="F24" t="s">
        <v>22</v>
      </c>
      <c r="G24" s="6" t="s">
        <v>110</v>
      </c>
      <c r="I24" t="s">
        <v>24</v>
      </c>
      <c r="J24" t="s">
        <v>25</v>
      </c>
      <c r="K24" t="s">
        <v>26</v>
      </c>
      <c r="L24" t="s">
        <v>111</v>
      </c>
      <c r="M24" t="s">
        <v>28</v>
      </c>
      <c r="N24" t="s">
        <v>28</v>
      </c>
      <c r="Q24" t="s">
        <v>29</v>
      </c>
      <c r="R24" t="s">
        <v>29</v>
      </c>
    </row>
    <row r="25" spans="1:19">
      <c r="A25">
        <v>8</v>
      </c>
      <c r="B25" t="str">
        <f>VLOOKUP(C25,Lookups!$G$2:$H$38,2,FALSE)</f>
        <v>11 EAM - Screens - Revenue Distribution - PPN</v>
      </c>
      <c r="C25" s="13">
        <v>1792387</v>
      </c>
      <c r="D25" s="11" t="s">
        <v>112</v>
      </c>
      <c r="E25" t="s">
        <v>113</v>
      </c>
      <c r="F25" t="s">
        <v>67</v>
      </c>
      <c r="G25" s="6" t="s">
        <v>114</v>
      </c>
      <c r="H25" t="s">
        <v>115</v>
      </c>
      <c r="I25" t="s">
        <v>24</v>
      </c>
      <c r="J25" t="s">
        <v>25</v>
      </c>
      <c r="K25" t="s">
        <v>26</v>
      </c>
      <c r="L25" t="s">
        <v>116</v>
      </c>
      <c r="M25" t="s">
        <v>28</v>
      </c>
      <c r="N25" t="s">
        <v>28</v>
      </c>
      <c r="Q25" t="s">
        <v>29</v>
      </c>
      <c r="R25" t="s">
        <v>29</v>
      </c>
    </row>
    <row r="26" spans="1:19">
      <c r="A26">
        <v>9</v>
      </c>
      <c r="B26" t="str">
        <f>VLOOKUP(C26,Lookups!$G$2:$H$38,2,FALSE)</f>
        <v>12 EAM - Screens - Journal Entry - Query Screens</v>
      </c>
      <c r="C26">
        <v>1792326</v>
      </c>
      <c r="D26" s="18" t="s">
        <v>117</v>
      </c>
      <c r="E26" s="15" t="s">
        <v>118</v>
      </c>
      <c r="F26" t="s">
        <v>67</v>
      </c>
      <c r="G26" s="6" t="s">
        <v>36</v>
      </c>
      <c r="H26" s="12" t="s">
        <v>97</v>
      </c>
      <c r="I26" t="s">
        <v>40</v>
      </c>
      <c r="J26" t="s">
        <v>41</v>
      </c>
      <c r="M26" t="s">
        <v>28</v>
      </c>
      <c r="N26" s="2"/>
      <c r="O26" s="2"/>
      <c r="Q26" t="s">
        <v>29</v>
      </c>
      <c r="R26" t="s">
        <v>29</v>
      </c>
      <c r="S26" t="s">
        <v>28</v>
      </c>
    </row>
    <row r="27" spans="1:19">
      <c r="A27">
        <v>9</v>
      </c>
      <c r="B27" t="str">
        <f>VLOOKUP(C27,Lookups!$G$2:$H$38,2,FALSE)</f>
        <v>12 EAM - Screens - Journal Entry - Query Screens</v>
      </c>
      <c r="C27">
        <v>1792326</v>
      </c>
      <c r="D27" t="s">
        <v>119</v>
      </c>
      <c r="E27" t="s">
        <v>120</v>
      </c>
      <c r="F27" t="s">
        <v>67</v>
      </c>
      <c r="G27" s="6" t="s">
        <v>36</v>
      </c>
      <c r="H27" t="s">
        <v>121</v>
      </c>
      <c r="I27" t="s">
        <v>40</v>
      </c>
      <c r="J27" t="s">
        <v>41</v>
      </c>
      <c r="K27" t="s">
        <v>26</v>
      </c>
      <c r="L27" t="s">
        <v>122</v>
      </c>
      <c r="M27" t="s">
        <v>28</v>
      </c>
      <c r="Q27" t="s">
        <v>29</v>
      </c>
      <c r="R27" t="s">
        <v>29</v>
      </c>
      <c r="S27" t="s">
        <v>28</v>
      </c>
    </row>
    <row r="28" spans="1:19">
      <c r="A28">
        <v>9</v>
      </c>
      <c r="B28" t="str">
        <f>VLOOKUP(C28,Lookups!$G$2:$H$38,2,FALSE)</f>
        <v>12 EAM - Screens - Journal Entry - Query Screens</v>
      </c>
      <c r="C28">
        <v>1792326</v>
      </c>
      <c r="D28" t="s">
        <v>123</v>
      </c>
      <c r="E28" t="s">
        <v>124</v>
      </c>
      <c r="F28" t="s">
        <v>67</v>
      </c>
      <c r="G28" s="6" t="s">
        <v>36</v>
      </c>
      <c r="H28" t="s">
        <v>121</v>
      </c>
      <c r="I28" t="s">
        <v>40</v>
      </c>
      <c r="J28" t="s">
        <v>41</v>
      </c>
      <c r="K28" t="s">
        <v>26</v>
      </c>
      <c r="L28" t="s">
        <v>125</v>
      </c>
      <c r="M28" t="s">
        <v>28</v>
      </c>
      <c r="Q28" t="s">
        <v>29</v>
      </c>
      <c r="R28" t="s">
        <v>29</v>
      </c>
      <c r="S28" t="s">
        <v>28</v>
      </c>
    </row>
    <row r="29" spans="1:19">
      <c r="A29">
        <v>10</v>
      </c>
      <c r="B29" t="str">
        <f>VLOOKUP(C29,Lookups!$G$2:$H$38,2,FALSE)</f>
        <v>13 EAM - Screens - Journal Entry - Manual Journal Entry Screens</v>
      </c>
      <c r="C29">
        <v>1792325</v>
      </c>
      <c r="D29" t="s">
        <v>126</v>
      </c>
      <c r="E29" t="s">
        <v>127</v>
      </c>
      <c r="F29" t="s">
        <v>22</v>
      </c>
      <c r="G29" s="6" t="s">
        <v>128</v>
      </c>
      <c r="H29" t="s">
        <v>129</v>
      </c>
      <c r="I29" t="s">
        <v>40</v>
      </c>
      <c r="J29" t="s">
        <v>41</v>
      </c>
      <c r="K29" t="s">
        <v>26</v>
      </c>
      <c r="L29" t="s">
        <v>130</v>
      </c>
      <c r="M29" t="s">
        <v>28</v>
      </c>
      <c r="N29" t="s">
        <v>28</v>
      </c>
      <c r="Q29" t="s">
        <v>28</v>
      </c>
      <c r="R29" t="s">
        <v>29</v>
      </c>
      <c r="S29" t="s">
        <v>28</v>
      </c>
    </row>
    <row r="30" spans="1:19">
      <c r="A30">
        <v>10</v>
      </c>
      <c r="B30" t="str">
        <f>VLOOKUP(C30,Lookups!$G$2:$H$38,2,FALSE)</f>
        <v>13 EAM - Screens - Journal Entry - Manual Journal Entry Screens</v>
      </c>
      <c r="C30">
        <v>1792325</v>
      </c>
      <c r="D30" t="s">
        <v>131</v>
      </c>
      <c r="E30" t="s">
        <v>132</v>
      </c>
      <c r="F30" t="s">
        <v>87</v>
      </c>
      <c r="G30" s="6" t="s">
        <v>128</v>
      </c>
      <c r="H30" t="s">
        <v>129</v>
      </c>
      <c r="I30" t="s">
        <v>40</v>
      </c>
      <c r="J30" t="s">
        <v>41</v>
      </c>
      <c r="K30" t="s">
        <v>26</v>
      </c>
      <c r="L30" t="s">
        <v>133</v>
      </c>
      <c r="M30" t="s">
        <v>28</v>
      </c>
      <c r="O30" t="s">
        <v>28</v>
      </c>
      <c r="Q30" t="s">
        <v>28</v>
      </c>
      <c r="R30" t="s">
        <v>28</v>
      </c>
      <c r="S30" t="s">
        <v>28</v>
      </c>
    </row>
    <row r="31" spans="1:19">
      <c r="A31">
        <v>10</v>
      </c>
      <c r="B31" t="str">
        <f>VLOOKUP(C31,Lookups!$G$2:$H$38,2,FALSE)</f>
        <v>13 EAM - Screens - Journal Entry - Manual Journal Entry Screens</v>
      </c>
      <c r="C31">
        <v>1792325</v>
      </c>
      <c r="D31" s="11" t="s">
        <v>134</v>
      </c>
      <c r="E31" t="s">
        <v>135</v>
      </c>
      <c r="F31" t="s">
        <v>87</v>
      </c>
      <c r="G31" s="6" t="s">
        <v>128</v>
      </c>
      <c r="H31" t="s">
        <v>129</v>
      </c>
      <c r="I31" t="s">
        <v>40</v>
      </c>
      <c r="J31" t="s">
        <v>41</v>
      </c>
      <c r="K31" t="s">
        <v>26</v>
      </c>
      <c r="L31" t="s">
        <v>136</v>
      </c>
      <c r="M31" t="s">
        <v>28</v>
      </c>
      <c r="N31" t="s">
        <v>28</v>
      </c>
      <c r="O31" t="s">
        <v>28</v>
      </c>
      <c r="Q31" t="s">
        <v>29</v>
      </c>
      <c r="R31" t="s">
        <v>29</v>
      </c>
    </row>
    <row r="32" spans="1:19">
      <c r="A32">
        <v>10</v>
      </c>
      <c r="B32" t="str">
        <f>VLOOKUP(C32,Lookups!$G$2:$H$38,2,FALSE)</f>
        <v>13 EAM - Screens - Journal Entry - Manual Journal Entry Screens</v>
      </c>
      <c r="C32">
        <v>1792325</v>
      </c>
      <c r="D32" s="11" t="s">
        <v>137</v>
      </c>
      <c r="E32" t="s">
        <v>138</v>
      </c>
      <c r="F32" t="s">
        <v>87</v>
      </c>
      <c r="G32" s="6" t="s">
        <v>128</v>
      </c>
      <c r="H32" t="s">
        <v>129</v>
      </c>
      <c r="I32" t="s">
        <v>40</v>
      </c>
      <c r="J32" t="s">
        <v>41</v>
      </c>
      <c r="K32" t="s">
        <v>26</v>
      </c>
      <c r="Q32" t="s">
        <v>29</v>
      </c>
      <c r="R32" t="s">
        <v>29</v>
      </c>
    </row>
    <row r="33" spans="1:19">
      <c r="A33">
        <v>11</v>
      </c>
      <c r="B33" t="str">
        <f>VLOOKUP(C33,Lookups!$G$2:$H$38,2,FALSE)</f>
        <v>14 EAM - Screens  - Journal Entry - Reversal Screens</v>
      </c>
      <c r="C33" s="13">
        <v>1792327</v>
      </c>
      <c r="D33" s="11" t="s">
        <v>139</v>
      </c>
      <c r="E33" t="s">
        <v>140</v>
      </c>
      <c r="F33" t="s">
        <v>87</v>
      </c>
      <c r="G33" s="6" t="s">
        <v>63</v>
      </c>
      <c r="H33" t="s">
        <v>141</v>
      </c>
      <c r="I33" t="s">
        <v>40</v>
      </c>
      <c r="J33" t="s">
        <v>41</v>
      </c>
      <c r="K33" t="s">
        <v>26</v>
      </c>
      <c r="L33" t="s">
        <v>142</v>
      </c>
      <c r="M33" t="s">
        <v>28</v>
      </c>
      <c r="N33" t="s">
        <v>28</v>
      </c>
      <c r="O33" t="s">
        <v>28</v>
      </c>
      <c r="Q33" t="s">
        <v>28</v>
      </c>
      <c r="R33" t="s">
        <v>28</v>
      </c>
    </row>
    <row r="34" spans="1:19">
      <c r="A34">
        <v>11</v>
      </c>
      <c r="B34" t="str">
        <f>VLOOKUP(C34,Lookups!$G$2:$H$38,2,FALSE)</f>
        <v>14 EAM - Screens  - Journal Entry - Reversal Screens</v>
      </c>
      <c r="C34" s="13">
        <v>1792327</v>
      </c>
      <c r="D34" t="s">
        <v>143</v>
      </c>
      <c r="E34" t="s">
        <v>144</v>
      </c>
      <c r="F34" t="s">
        <v>87</v>
      </c>
      <c r="G34" s="6" t="s">
        <v>63</v>
      </c>
      <c r="H34" t="s">
        <v>141</v>
      </c>
      <c r="I34" t="s">
        <v>40</v>
      </c>
      <c r="J34" t="s">
        <v>41</v>
      </c>
      <c r="K34" t="s">
        <v>26</v>
      </c>
      <c r="L34" t="s">
        <v>145</v>
      </c>
      <c r="M34" t="s">
        <v>146</v>
      </c>
      <c r="Q34" t="s">
        <v>28</v>
      </c>
      <c r="R34" t="s">
        <v>28</v>
      </c>
    </row>
    <row r="35" spans="1:19">
      <c r="A35">
        <v>11</v>
      </c>
      <c r="B35" t="str">
        <f>VLOOKUP(C35,Lookups!$G$2:$H$38,2,FALSE)</f>
        <v>14 EAM - Screens  - Journal Entry - Reversal Screens</v>
      </c>
      <c r="C35" s="13">
        <v>1792327</v>
      </c>
      <c r="D35" s="11" t="s">
        <v>147</v>
      </c>
      <c r="E35" t="s">
        <v>148</v>
      </c>
      <c r="F35" t="s">
        <v>87</v>
      </c>
      <c r="G35" s="6" t="s">
        <v>63</v>
      </c>
      <c r="H35" t="s">
        <v>141</v>
      </c>
      <c r="I35" t="s">
        <v>40</v>
      </c>
      <c r="J35" t="s">
        <v>41</v>
      </c>
      <c r="K35" t="s">
        <v>26</v>
      </c>
      <c r="L35" t="s">
        <v>149</v>
      </c>
      <c r="M35" t="s">
        <v>28</v>
      </c>
      <c r="N35" t="s">
        <v>28</v>
      </c>
      <c r="O35" t="s">
        <v>28</v>
      </c>
      <c r="Q35" t="s">
        <v>28</v>
      </c>
      <c r="R35" t="s">
        <v>28</v>
      </c>
    </row>
    <row r="36" spans="1:19">
      <c r="A36">
        <v>11</v>
      </c>
      <c r="B36" t="str">
        <f>VLOOKUP(C36,Lookups!$G$2:$H$38,2,FALSE)</f>
        <v>14 EAM - Screens  - Journal Entry - Reversal Screens</v>
      </c>
      <c r="C36" s="13">
        <v>1792327</v>
      </c>
      <c r="D36" t="s">
        <v>150</v>
      </c>
      <c r="E36" t="s">
        <v>151</v>
      </c>
      <c r="F36" t="s">
        <v>87</v>
      </c>
      <c r="G36" s="6" t="s">
        <v>63</v>
      </c>
      <c r="H36" t="s">
        <v>141</v>
      </c>
      <c r="I36" t="s">
        <v>40</v>
      </c>
      <c r="J36" t="s">
        <v>41</v>
      </c>
      <c r="K36" t="s">
        <v>26</v>
      </c>
      <c r="L36" t="s">
        <v>152</v>
      </c>
      <c r="M36" t="s">
        <v>146</v>
      </c>
      <c r="Q36" t="s">
        <v>28</v>
      </c>
      <c r="R36" t="s">
        <v>28</v>
      </c>
    </row>
    <row r="37" spans="1:19">
      <c r="A37">
        <v>12</v>
      </c>
      <c r="B37" t="str">
        <f>VLOOKUP(C37,Lookups!$G$2:$H$38,2,FALSE)</f>
        <v>15 EAM - Screen - Check Write</v>
      </c>
      <c r="C37" s="13">
        <v>1786986</v>
      </c>
      <c r="D37" s="11" t="s">
        <v>153</v>
      </c>
      <c r="E37" t="s">
        <v>154</v>
      </c>
      <c r="F37" t="s">
        <v>22</v>
      </c>
      <c r="G37" s="6" t="s">
        <v>36</v>
      </c>
      <c r="I37" t="s">
        <v>155</v>
      </c>
      <c r="J37" t="s">
        <v>156</v>
      </c>
      <c r="K37" t="s">
        <v>157</v>
      </c>
      <c r="Q37" t="s">
        <v>28</v>
      </c>
      <c r="R37" t="s">
        <v>28</v>
      </c>
      <c r="S37" t="s">
        <v>28</v>
      </c>
    </row>
    <row r="38" spans="1:19" ht="30">
      <c r="A38">
        <v>12</v>
      </c>
      <c r="B38" t="str">
        <f>VLOOKUP(C38,Lookups!$G$2:$H$38,2,FALSE)</f>
        <v>15 EAM - Screen - Check Write</v>
      </c>
      <c r="C38" s="13">
        <v>1786986</v>
      </c>
      <c r="D38" s="11" t="s">
        <v>158</v>
      </c>
      <c r="E38" t="s">
        <v>159</v>
      </c>
      <c r="F38" t="s">
        <v>22</v>
      </c>
      <c r="G38" s="6" t="s">
        <v>160</v>
      </c>
      <c r="I38" t="s">
        <v>155</v>
      </c>
      <c r="J38" t="s">
        <v>156</v>
      </c>
      <c r="K38" t="s">
        <v>26</v>
      </c>
      <c r="Q38" t="s">
        <v>28</v>
      </c>
      <c r="R38" t="s">
        <v>28</v>
      </c>
      <c r="S38" t="s">
        <v>28</v>
      </c>
    </row>
    <row r="39" spans="1:19">
      <c r="A39">
        <v>12</v>
      </c>
      <c r="B39" t="str">
        <f>VLOOKUP(C39,Lookups!$G$2:$H$38,2,FALSE)</f>
        <v>15 EAM - Screen - Check Write</v>
      </c>
      <c r="C39" s="13">
        <v>1786986</v>
      </c>
      <c r="D39" s="11" t="s">
        <v>161</v>
      </c>
      <c r="E39" t="s">
        <v>162</v>
      </c>
      <c r="F39" t="s">
        <v>22</v>
      </c>
      <c r="G39" s="6" t="s">
        <v>36</v>
      </c>
      <c r="I39" t="s">
        <v>155</v>
      </c>
      <c r="J39" t="s">
        <v>156</v>
      </c>
      <c r="K39" t="s">
        <v>26</v>
      </c>
      <c r="L39" t="s">
        <v>163</v>
      </c>
      <c r="M39" t="s">
        <v>28</v>
      </c>
      <c r="N39" t="s">
        <v>28</v>
      </c>
      <c r="Q39" t="s">
        <v>29</v>
      </c>
      <c r="R39" t="s">
        <v>29</v>
      </c>
    </row>
    <row r="40" spans="1:19">
      <c r="A40">
        <v>12</v>
      </c>
      <c r="B40" t="str">
        <f>VLOOKUP(C40,Lookups!$G$2:$H$38,2,FALSE)</f>
        <v>15 EAM - Screen - Check Write</v>
      </c>
      <c r="C40" s="13">
        <v>1786986</v>
      </c>
      <c r="D40" s="11" t="s">
        <v>164</v>
      </c>
      <c r="E40" t="s">
        <v>165</v>
      </c>
      <c r="F40" t="s">
        <v>22</v>
      </c>
      <c r="G40" s="6" t="s">
        <v>36</v>
      </c>
      <c r="I40" t="s">
        <v>155</v>
      </c>
      <c r="J40" t="s">
        <v>156</v>
      </c>
      <c r="K40" t="s">
        <v>26</v>
      </c>
      <c r="L40" t="s">
        <v>166</v>
      </c>
      <c r="M40" t="s">
        <v>28</v>
      </c>
      <c r="N40" t="s">
        <v>28</v>
      </c>
      <c r="Q40" t="s">
        <v>29</v>
      </c>
      <c r="R40" t="s">
        <v>29</v>
      </c>
    </row>
    <row r="41" spans="1:19">
      <c r="A41">
        <v>12</v>
      </c>
      <c r="B41" t="str">
        <f>VLOOKUP(C41,Lookups!$G$2:$H$38,2,FALSE)</f>
        <v>15 EAM - Screen - Check Write</v>
      </c>
      <c r="C41" s="13">
        <v>1786986</v>
      </c>
      <c r="D41" s="11" t="s">
        <v>167</v>
      </c>
      <c r="E41" t="s">
        <v>168</v>
      </c>
      <c r="F41" t="s">
        <v>22</v>
      </c>
      <c r="G41" s="6" t="s">
        <v>36</v>
      </c>
      <c r="I41" t="s">
        <v>155</v>
      </c>
      <c r="J41" t="s">
        <v>156</v>
      </c>
      <c r="K41" t="s">
        <v>26</v>
      </c>
      <c r="L41" t="s">
        <v>169</v>
      </c>
      <c r="M41" t="s">
        <v>28</v>
      </c>
      <c r="N41" t="s">
        <v>28</v>
      </c>
      <c r="Q41" t="s">
        <v>29</v>
      </c>
      <c r="R41" t="s">
        <v>29</v>
      </c>
    </row>
    <row r="42" spans="1:19">
      <c r="A42">
        <v>12</v>
      </c>
      <c r="B42" t="str">
        <f>VLOOKUP(C42,Lookups!$G$2:$H$38,2,FALSE)</f>
        <v>15 EAM - Screen - Check Write</v>
      </c>
      <c r="C42" s="13">
        <v>1786986</v>
      </c>
      <c r="D42" s="11" t="s">
        <v>170</v>
      </c>
      <c r="E42" t="s">
        <v>171</v>
      </c>
      <c r="F42" t="s">
        <v>87</v>
      </c>
      <c r="G42" s="6" t="s">
        <v>36</v>
      </c>
      <c r="I42" t="s">
        <v>155</v>
      </c>
      <c r="J42" t="s">
        <v>156</v>
      </c>
      <c r="K42" t="s">
        <v>26</v>
      </c>
      <c r="L42" t="s">
        <v>172</v>
      </c>
      <c r="M42" t="s">
        <v>28</v>
      </c>
      <c r="N42" t="s">
        <v>28</v>
      </c>
      <c r="Q42" t="s">
        <v>29</v>
      </c>
      <c r="R42" t="s">
        <v>29</v>
      </c>
    </row>
    <row r="43" spans="1:19">
      <c r="A43">
        <v>12</v>
      </c>
      <c r="B43" t="str">
        <f>VLOOKUP(C43,Lookups!$G$2:$H$38,2,FALSE)</f>
        <v>15 EAM - Screen - Check Write</v>
      </c>
      <c r="C43" s="13">
        <v>1786986</v>
      </c>
      <c r="D43" t="s">
        <v>173</v>
      </c>
      <c r="E43" t="s">
        <v>174</v>
      </c>
      <c r="F43" t="s">
        <v>87</v>
      </c>
      <c r="G43" s="6" t="s">
        <v>36</v>
      </c>
      <c r="I43" t="s">
        <v>155</v>
      </c>
      <c r="J43" t="s">
        <v>156</v>
      </c>
      <c r="K43" t="s">
        <v>26</v>
      </c>
      <c r="L43" t="s">
        <v>175</v>
      </c>
      <c r="M43" t="s">
        <v>28</v>
      </c>
      <c r="N43" t="s">
        <v>28</v>
      </c>
      <c r="Q43" t="s">
        <v>29</v>
      </c>
      <c r="R43" t="s">
        <v>29</v>
      </c>
    </row>
    <row r="44" spans="1:19">
      <c r="A44">
        <v>13</v>
      </c>
      <c r="B44" t="str">
        <f>VLOOKUP(C44,Lookups!$G$2:$H$38,2,FALSE)</f>
        <v>16 EAM - Screens - Tax and Reg</v>
      </c>
      <c r="C44" s="13">
        <v>1786981</v>
      </c>
      <c r="D44" s="11" t="s">
        <v>176</v>
      </c>
      <c r="E44" t="s">
        <v>177</v>
      </c>
      <c r="F44" t="s">
        <v>22</v>
      </c>
      <c r="G44" s="6" t="s">
        <v>36</v>
      </c>
      <c r="I44" t="s">
        <v>178</v>
      </c>
      <c r="J44" t="s">
        <v>179</v>
      </c>
      <c r="K44" t="s">
        <v>26</v>
      </c>
      <c r="L44" t="s">
        <v>180</v>
      </c>
      <c r="M44" t="s">
        <v>28</v>
      </c>
      <c r="N44" t="s">
        <v>28</v>
      </c>
      <c r="Q44" t="s">
        <v>29</v>
      </c>
      <c r="R44" t="s">
        <v>29</v>
      </c>
    </row>
    <row r="45" spans="1:19">
      <c r="A45">
        <v>13</v>
      </c>
      <c r="B45" t="str">
        <f>VLOOKUP(C45,Lookups!$G$2:$H$38,2,FALSE)</f>
        <v>16 EAM - Screens - Tax and Reg</v>
      </c>
      <c r="C45" s="13">
        <v>1786981</v>
      </c>
      <c r="D45" s="11" t="s">
        <v>181</v>
      </c>
      <c r="E45" t="s">
        <v>182</v>
      </c>
      <c r="F45" t="s">
        <v>22</v>
      </c>
      <c r="G45" s="6" t="s">
        <v>36</v>
      </c>
      <c r="I45" t="s">
        <v>178</v>
      </c>
      <c r="J45" t="s">
        <v>179</v>
      </c>
      <c r="K45" t="s">
        <v>26</v>
      </c>
      <c r="L45" t="s">
        <v>183</v>
      </c>
      <c r="M45" t="s">
        <v>28</v>
      </c>
      <c r="P45" t="s">
        <v>28</v>
      </c>
      <c r="Q45" t="s">
        <v>29</v>
      </c>
      <c r="R45" t="s">
        <v>29</v>
      </c>
    </row>
    <row r="46" spans="1:19">
      <c r="A46">
        <v>13</v>
      </c>
      <c r="B46" t="str">
        <f>VLOOKUP(C46,Lookups!$G$2:$H$38,2,FALSE)</f>
        <v>16 EAM - Screens - Tax and Reg</v>
      </c>
      <c r="C46" s="13">
        <v>1786981</v>
      </c>
      <c r="D46" s="11" t="s">
        <v>184</v>
      </c>
      <c r="E46" t="s">
        <v>185</v>
      </c>
      <c r="F46" t="s">
        <v>22</v>
      </c>
      <c r="G46" s="6" t="s">
        <v>36</v>
      </c>
      <c r="I46" t="s">
        <v>178</v>
      </c>
      <c r="J46" t="s">
        <v>179</v>
      </c>
      <c r="K46" t="s">
        <v>26</v>
      </c>
      <c r="L46" t="s">
        <v>186</v>
      </c>
      <c r="N46" t="s">
        <v>28</v>
      </c>
      <c r="Q46" t="s">
        <v>29</v>
      </c>
      <c r="R46" t="s">
        <v>29</v>
      </c>
    </row>
    <row r="47" spans="1:19">
      <c r="A47">
        <v>14</v>
      </c>
      <c r="B47" t="str">
        <f>VLOOKUP(C47,Lookups!$G$2:$H$38,2,FALSE)</f>
        <v>17 EAM - Screens - Esuite/Esuite Linking (Business Associates)</v>
      </c>
      <c r="C47" s="13">
        <v>1786985</v>
      </c>
      <c r="D47" t="s">
        <v>187</v>
      </c>
      <c r="E47" t="s">
        <v>188</v>
      </c>
      <c r="F47" t="s">
        <v>67</v>
      </c>
      <c r="G47" s="6" t="s">
        <v>189</v>
      </c>
      <c r="H47" t="s">
        <v>190</v>
      </c>
      <c r="I47" t="s">
        <v>191</v>
      </c>
      <c r="J47" t="s">
        <v>191</v>
      </c>
      <c r="K47" t="s">
        <v>157</v>
      </c>
      <c r="Q47" t="s">
        <v>29</v>
      </c>
      <c r="R47" t="s">
        <v>29</v>
      </c>
    </row>
    <row r="48" spans="1:19">
      <c r="A48">
        <v>14</v>
      </c>
      <c r="B48" t="str">
        <f>VLOOKUP(C48,Lookups!$G$2:$H$38,2,FALSE)</f>
        <v>17 EAM - Screens - Esuite/Esuite Linking (Business Associates)</v>
      </c>
      <c r="C48" s="13">
        <v>1786985</v>
      </c>
      <c r="D48" t="s">
        <v>192</v>
      </c>
      <c r="E48" t="s">
        <v>193</v>
      </c>
      <c r="F48" t="s">
        <v>67</v>
      </c>
      <c r="G48" s="6" t="s">
        <v>194</v>
      </c>
      <c r="H48" t="s">
        <v>190</v>
      </c>
      <c r="I48" t="s">
        <v>191</v>
      </c>
      <c r="J48" t="s">
        <v>191</v>
      </c>
      <c r="K48" t="s">
        <v>26</v>
      </c>
      <c r="Q48" t="s">
        <v>29</v>
      </c>
      <c r="R48" t="s">
        <v>29</v>
      </c>
    </row>
    <row r="49" spans="1:18">
      <c r="A49">
        <v>14</v>
      </c>
      <c r="B49" t="str">
        <f>VLOOKUP(C49,Lookups!$G$2:$H$38,2,FALSE)</f>
        <v>17 EAM - Screens - Esuite/Esuite Linking (Business Associates)</v>
      </c>
      <c r="C49" s="13">
        <v>1786985</v>
      </c>
      <c r="D49" t="s">
        <v>195</v>
      </c>
      <c r="E49" t="s">
        <v>196</v>
      </c>
      <c r="F49" t="s">
        <v>67</v>
      </c>
      <c r="G49" s="6" t="s">
        <v>194</v>
      </c>
      <c r="H49" t="s">
        <v>190</v>
      </c>
      <c r="I49" t="s">
        <v>191</v>
      </c>
      <c r="J49" t="s">
        <v>191</v>
      </c>
      <c r="K49" t="s">
        <v>26</v>
      </c>
      <c r="Q49" t="s">
        <v>29</v>
      </c>
      <c r="R49" t="s">
        <v>29</v>
      </c>
    </row>
    <row r="50" spans="1:18">
      <c r="A50">
        <v>14</v>
      </c>
      <c r="B50" t="str">
        <f>VLOOKUP(C50,Lookups!$G$2:$H$38,2,FALSE)</f>
        <v>17 EAM - Screens - Esuite/Esuite Linking (Business Associates)</v>
      </c>
      <c r="C50" s="13">
        <v>1786985</v>
      </c>
      <c r="D50" t="s">
        <v>197</v>
      </c>
      <c r="E50" t="s">
        <v>198</v>
      </c>
      <c r="F50" t="s">
        <v>67</v>
      </c>
      <c r="G50" s="6" t="s">
        <v>194</v>
      </c>
      <c r="H50" t="s">
        <v>190</v>
      </c>
      <c r="I50" t="s">
        <v>191</v>
      </c>
      <c r="J50" t="s">
        <v>191</v>
      </c>
      <c r="K50" t="s">
        <v>157</v>
      </c>
      <c r="Q50" t="s">
        <v>29</v>
      </c>
      <c r="R50" t="s">
        <v>29</v>
      </c>
    </row>
    <row r="51" spans="1:18" ht="20.25" customHeight="1">
      <c r="A51">
        <v>14</v>
      </c>
      <c r="B51" t="str">
        <f>VLOOKUP(C51,Lookups!$G$2:$H$38,2,FALSE)</f>
        <v>17 EAM - Screens - Esuite/Esuite Linking (Business Associates)</v>
      </c>
      <c r="C51" s="13">
        <v>1786985</v>
      </c>
      <c r="D51" t="s">
        <v>199</v>
      </c>
      <c r="E51" t="s">
        <v>200</v>
      </c>
      <c r="F51" t="s">
        <v>67</v>
      </c>
      <c r="G51" s="6" t="s">
        <v>36</v>
      </c>
      <c r="H51" t="s">
        <v>190</v>
      </c>
      <c r="I51" t="s">
        <v>191</v>
      </c>
      <c r="J51" t="s">
        <v>191</v>
      </c>
      <c r="K51" t="s">
        <v>201</v>
      </c>
      <c r="M51" t="s">
        <v>28</v>
      </c>
      <c r="N51" t="s">
        <v>28</v>
      </c>
      <c r="Q51" t="s">
        <v>28</v>
      </c>
      <c r="R51" t="s">
        <v>29</v>
      </c>
    </row>
    <row r="52" spans="1:18">
      <c r="A52">
        <v>15</v>
      </c>
      <c r="B52" t="str">
        <f>VLOOKUP(C52,Lookups!$G$2:$H$38,2,FALSE)</f>
        <v>18 EAM - Screens - Division of Interest</v>
      </c>
      <c r="C52" s="13">
        <v>1786975</v>
      </c>
      <c r="D52" t="s">
        <v>202</v>
      </c>
      <c r="E52" t="s">
        <v>203</v>
      </c>
      <c r="F52" t="s">
        <v>67</v>
      </c>
      <c r="G52" s="6" t="s">
        <v>36</v>
      </c>
      <c r="H52" t="s">
        <v>204</v>
      </c>
      <c r="I52" t="s">
        <v>205</v>
      </c>
      <c r="J52" t="s">
        <v>206</v>
      </c>
      <c r="K52" t="s">
        <v>26</v>
      </c>
      <c r="M52" t="s">
        <v>28</v>
      </c>
      <c r="P52" t="s">
        <v>28</v>
      </c>
      <c r="Q52" t="s">
        <v>29</v>
      </c>
      <c r="R52" t="s">
        <v>29</v>
      </c>
    </row>
    <row r="53" spans="1:18">
      <c r="A53">
        <v>15</v>
      </c>
      <c r="B53" t="str">
        <f>VLOOKUP(C53,Lookups!$G$2:$H$38,2,FALSE)</f>
        <v>18 EAM - Screens - Division of Interest</v>
      </c>
      <c r="C53" s="13">
        <v>1786975</v>
      </c>
      <c r="D53" t="s">
        <v>207</v>
      </c>
      <c r="E53" t="s">
        <v>208</v>
      </c>
      <c r="F53" t="s">
        <v>67</v>
      </c>
      <c r="G53" s="6" t="s">
        <v>36</v>
      </c>
      <c r="H53" t="s">
        <v>204</v>
      </c>
      <c r="I53" t="s">
        <v>205</v>
      </c>
      <c r="J53" t="s">
        <v>206</v>
      </c>
      <c r="K53" t="s">
        <v>26</v>
      </c>
      <c r="M53" t="s">
        <v>28</v>
      </c>
      <c r="P53" t="s">
        <v>28</v>
      </c>
      <c r="Q53" t="s">
        <v>29</v>
      </c>
      <c r="R53" t="s">
        <v>29</v>
      </c>
    </row>
    <row r="54" spans="1:18" ht="15" customHeight="1">
      <c r="A54">
        <v>15</v>
      </c>
      <c r="B54" t="str">
        <f>VLOOKUP(C54,Lookups!$G$2:$H$38,2,FALSE)</f>
        <v>18 EAM - Screens - Division of Interest</v>
      </c>
      <c r="C54" s="13">
        <v>1786975</v>
      </c>
      <c r="D54" s="11" t="s">
        <v>209</v>
      </c>
      <c r="E54" t="s">
        <v>210</v>
      </c>
      <c r="F54" t="s">
        <v>67</v>
      </c>
      <c r="G54" s="6" t="s">
        <v>63</v>
      </c>
      <c r="H54" t="s">
        <v>204</v>
      </c>
      <c r="I54" t="s">
        <v>205</v>
      </c>
      <c r="J54" t="s">
        <v>206</v>
      </c>
      <c r="K54" t="s">
        <v>201</v>
      </c>
      <c r="L54" t="s">
        <v>211</v>
      </c>
      <c r="M54" t="s">
        <v>28</v>
      </c>
      <c r="N54" t="s">
        <v>28</v>
      </c>
      <c r="Q54" t="s">
        <v>29</v>
      </c>
      <c r="R54" t="s">
        <v>29</v>
      </c>
    </row>
    <row r="55" spans="1:18" ht="15" customHeight="1">
      <c r="A55">
        <v>15</v>
      </c>
      <c r="B55" t="str">
        <f>VLOOKUP(C55,Lookups!$G$2:$H$38,2,FALSE)</f>
        <v>18 EAM - Screens - Division of Interest</v>
      </c>
      <c r="C55" s="13">
        <v>1786975</v>
      </c>
      <c r="D55" t="s">
        <v>212</v>
      </c>
      <c r="E55" t="s">
        <v>213</v>
      </c>
      <c r="F55" t="s">
        <v>67</v>
      </c>
      <c r="G55" s="6" t="s">
        <v>214</v>
      </c>
      <c r="H55" t="s">
        <v>204</v>
      </c>
      <c r="I55" t="s">
        <v>205</v>
      </c>
      <c r="J55" t="s">
        <v>206</v>
      </c>
      <c r="K55" t="s">
        <v>201</v>
      </c>
      <c r="L55" t="s">
        <v>215</v>
      </c>
      <c r="M55" t="s">
        <v>28</v>
      </c>
      <c r="Q55" t="s">
        <v>29</v>
      </c>
      <c r="R55" t="s">
        <v>29</v>
      </c>
    </row>
    <row r="56" spans="1:18" ht="15" customHeight="1">
      <c r="A56">
        <v>15</v>
      </c>
      <c r="B56" t="str">
        <f>VLOOKUP(C56,Lookups!$G$2:$H$38,2,FALSE)</f>
        <v>18 EAM - Screens - Division of Interest</v>
      </c>
      <c r="C56" s="13">
        <v>1786975</v>
      </c>
      <c r="D56" t="s">
        <v>216</v>
      </c>
      <c r="E56" s="14" t="s">
        <v>217</v>
      </c>
      <c r="F56" t="s">
        <v>67</v>
      </c>
      <c r="G56" s="6" t="s">
        <v>36</v>
      </c>
      <c r="H56" t="s">
        <v>204</v>
      </c>
      <c r="I56" t="s">
        <v>205</v>
      </c>
      <c r="J56" t="s">
        <v>206</v>
      </c>
      <c r="K56" t="s">
        <v>201</v>
      </c>
      <c r="Q56" t="s">
        <v>29</v>
      </c>
      <c r="R56" t="s">
        <v>29</v>
      </c>
    </row>
    <row r="57" spans="1:18" ht="15" customHeight="1">
      <c r="A57">
        <v>15</v>
      </c>
      <c r="B57" t="str">
        <f>VLOOKUP(C57,Lookups!$G$2:$H$38,2,FALSE)</f>
        <v>18 EAM - Screens - Division of Interest</v>
      </c>
      <c r="C57" s="13">
        <v>1786975</v>
      </c>
      <c r="D57" t="s">
        <v>216</v>
      </c>
      <c r="E57" t="s">
        <v>218</v>
      </c>
      <c r="F57" t="s">
        <v>67</v>
      </c>
      <c r="G57" s="6" t="s">
        <v>36</v>
      </c>
      <c r="H57" t="s">
        <v>204</v>
      </c>
      <c r="I57" t="s">
        <v>205</v>
      </c>
      <c r="J57" t="s">
        <v>206</v>
      </c>
      <c r="K57" t="s">
        <v>201</v>
      </c>
      <c r="P57" t="s">
        <v>219</v>
      </c>
      <c r="Q57" t="s">
        <v>29</v>
      </c>
      <c r="R57" t="s">
        <v>29</v>
      </c>
    </row>
    <row r="58" spans="1:18" ht="15" customHeight="1">
      <c r="A58">
        <v>15</v>
      </c>
      <c r="B58" t="str">
        <f>VLOOKUP(C58,Lookups!$G$2:$H$38,2,FALSE)</f>
        <v>18 EAM - Screens - Division of Interest</v>
      </c>
      <c r="C58" s="13">
        <v>1786975</v>
      </c>
      <c r="D58" t="s">
        <v>220</v>
      </c>
      <c r="E58" t="s">
        <v>221</v>
      </c>
      <c r="F58" t="s">
        <v>67</v>
      </c>
      <c r="G58" s="6" t="s">
        <v>36</v>
      </c>
      <c r="I58" t="s">
        <v>205</v>
      </c>
      <c r="J58" t="s">
        <v>206</v>
      </c>
      <c r="K58" t="s">
        <v>26</v>
      </c>
      <c r="Q58" t="s">
        <v>29</v>
      </c>
      <c r="R58" t="s">
        <v>29</v>
      </c>
    </row>
    <row r="59" spans="1:18" ht="15" customHeight="1">
      <c r="A59">
        <v>15</v>
      </c>
      <c r="B59" t="str">
        <f>VLOOKUP(C59,Lookups!$G$2:$H$38,2,FALSE)</f>
        <v>18 EAM - Screens - Division of Interest</v>
      </c>
      <c r="C59" s="13">
        <v>1786975</v>
      </c>
      <c r="D59" t="s">
        <v>222</v>
      </c>
      <c r="E59" t="s">
        <v>223</v>
      </c>
      <c r="F59" t="s">
        <v>67</v>
      </c>
      <c r="G59" s="6" t="s">
        <v>36</v>
      </c>
      <c r="H59" t="s">
        <v>204</v>
      </c>
      <c r="I59" t="s">
        <v>205</v>
      </c>
      <c r="J59" t="s">
        <v>206</v>
      </c>
      <c r="K59" t="s">
        <v>26</v>
      </c>
      <c r="L59" t="s">
        <v>224</v>
      </c>
      <c r="M59" t="s">
        <v>28</v>
      </c>
      <c r="P59" t="s">
        <v>28</v>
      </c>
      <c r="Q59" t="s">
        <v>29</v>
      </c>
      <c r="R59" t="s">
        <v>29</v>
      </c>
    </row>
    <row r="60" spans="1:18" ht="15" customHeight="1">
      <c r="A60">
        <v>15</v>
      </c>
      <c r="B60" t="str">
        <f>VLOOKUP(C60,Lookups!$G$2:$H$38,2,FALSE)</f>
        <v>18 EAM - Screens - Division of Interest</v>
      </c>
      <c r="C60" s="13">
        <v>1786975</v>
      </c>
      <c r="D60" t="s">
        <v>216</v>
      </c>
      <c r="E60" t="s">
        <v>225</v>
      </c>
      <c r="F60" t="s">
        <v>67</v>
      </c>
      <c r="G60" s="6" t="s">
        <v>36</v>
      </c>
      <c r="H60" t="s">
        <v>204</v>
      </c>
      <c r="I60" t="s">
        <v>205</v>
      </c>
      <c r="J60" t="s">
        <v>206</v>
      </c>
      <c r="K60" t="s">
        <v>201</v>
      </c>
      <c r="Q60" t="s">
        <v>28</v>
      </c>
      <c r="R60" t="s">
        <v>29</v>
      </c>
    </row>
    <row r="61" spans="1:18" ht="15" customHeight="1">
      <c r="A61">
        <v>15</v>
      </c>
      <c r="B61" t="str">
        <f>VLOOKUP(C61,Lookups!$G$2:$H$38,2,FALSE)</f>
        <v>18 EAM - Screens - Division of Interest</v>
      </c>
      <c r="C61" s="13">
        <v>1786975</v>
      </c>
      <c r="D61" t="s">
        <v>226</v>
      </c>
      <c r="E61" t="s">
        <v>227</v>
      </c>
      <c r="F61" t="s">
        <v>87</v>
      </c>
      <c r="G61" s="6" t="s">
        <v>36</v>
      </c>
      <c r="H61" t="s">
        <v>228</v>
      </c>
      <c r="I61" t="s">
        <v>205</v>
      </c>
      <c r="J61" t="s">
        <v>206</v>
      </c>
      <c r="K61" t="s">
        <v>201</v>
      </c>
      <c r="M61" t="s">
        <v>28</v>
      </c>
      <c r="N61" t="s">
        <v>28</v>
      </c>
      <c r="P61" t="s">
        <v>28</v>
      </c>
      <c r="Q61" t="s">
        <v>28</v>
      </c>
      <c r="R61" t="s">
        <v>29</v>
      </c>
    </row>
    <row r="62" spans="1:18" ht="15" customHeight="1">
      <c r="A62">
        <v>15</v>
      </c>
      <c r="B62" t="str">
        <f>VLOOKUP(C62,Lookups!$G$2:$H$38,2,FALSE)</f>
        <v>18 EAM - Screens - Division of Interest</v>
      </c>
      <c r="C62" s="13">
        <v>1786975</v>
      </c>
      <c r="D62" t="s">
        <v>229</v>
      </c>
      <c r="E62" t="s">
        <v>230</v>
      </c>
      <c r="F62" t="s">
        <v>67</v>
      </c>
      <c r="G62" s="16" t="s">
        <v>231</v>
      </c>
      <c r="H62" t="s">
        <v>204</v>
      </c>
      <c r="I62" t="s">
        <v>205</v>
      </c>
      <c r="J62" t="s">
        <v>206</v>
      </c>
      <c r="K62" t="s">
        <v>201</v>
      </c>
      <c r="L62" t="s">
        <v>232</v>
      </c>
      <c r="M62" t="s">
        <v>28</v>
      </c>
      <c r="N62" t="s">
        <v>28</v>
      </c>
      <c r="Q62" t="s">
        <v>28</v>
      </c>
      <c r="R62" t="s">
        <v>28</v>
      </c>
    </row>
    <row r="63" spans="1:18" ht="15" customHeight="1">
      <c r="A63">
        <v>15</v>
      </c>
      <c r="B63" t="str">
        <f>VLOOKUP(C63,Lookups!$G$2:$H$38,2,FALSE)</f>
        <v>18 EAM - Screens - Division of Interest</v>
      </c>
      <c r="C63" s="13">
        <v>1786975</v>
      </c>
      <c r="D63" t="s">
        <v>216</v>
      </c>
      <c r="E63" t="s">
        <v>233</v>
      </c>
      <c r="F63" t="s">
        <v>67</v>
      </c>
      <c r="G63" s="6" t="s">
        <v>234</v>
      </c>
      <c r="H63" t="s">
        <v>204</v>
      </c>
      <c r="I63" t="s">
        <v>205</v>
      </c>
      <c r="J63" t="s">
        <v>206</v>
      </c>
      <c r="Q63" t="s">
        <v>28</v>
      </c>
      <c r="R63" t="s">
        <v>28</v>
      </c>
    </row>
    <row r="64" spans="1:18" ht="15" customHeight="1">
      <c r="A64">
        <v>15</v>
      </c>
      <c r="B64" t="str">
        <f>VLOOKUP(C64,Lookups!$G$2:$H$38,2,FALSE)</f>
        <v>18 EAM - Screens - Division of Interest</v>
      </c>
      <c r="C64" s="13">
        <v>1786975</v>
      </c>
      <c r="D64" t="s">
        <v>216</v>
      </c>
      <c r="E64" t="s">
        <v>235</v>
      </c>
      <c r="F64" t="s">
        <v>67</v>
      </c>
      <c r="G64" s="6" t="s">
        <v>36</v>
      </c>
      <c r="H64" t="s">
        <v>204</v>
      </c>
      <c r="I64" t="s">
        <v>205</v>
      </c>
      <c r="J64" t="s">
        <v>206</v>
      </c>
      <c r="K64" t="s">
        <v>201</v>
      </c>
      <c r="P64" t="s">
        <v>219</v>
      </c>
      <c r="Q64" t="s">
        <v>28</v>
      </c>
      <c r="R64" t="s">
        <v>28</v>
      </c>
    </row>
    <row r="65" spans="1:20" ht="15" customHeight="1">
      <c r="A65">
        <v>15</v>
      </c>
      <c r="B65" t="str">
        <f>VLOOKUP(C65,Lookups!$G$2:$H$38,2,FALSE)</f>
        <v>18 EAM - Screens - Division of Interest</v>
      </c>
      <c r="C65" s="13">
        <v>1786975</v>
      </c>
      <c r="D65" t="s">
        <v>216</v>
      </c>
      <c r="E65" t="s">
        <v>236</v>
      </c>
      <c r="F65" t="s">
        <v>67</v>
      </c>
      <c r="G65" s="6" t="s">
        <v>36</v>
      </c>
      <c r="H65" t="s">
        <v>204</v>
      </c>
      <c r="I65" t="s">
        <v>205</v>
      </c>
      <c r="J65" t="s">
        <v>206</v>
      </c>
      <c r="K65" t="s">
        <v>201</v>
      </c>
      <c r="Q65" t="s">
        <v>28</v>
      </c>
      <c r="R65" t="s">
        <v>28</v>
      </c>
    </row>
    <row r="66" spans="1:20" ht="15" customHeight="1">
      <c r="A66">
        <v>16</v>
      </c>
      <c r="B66" t="str">
        <f>VLOOKUP(C66,Lookups!$G$2:$H$38,2,FALSE)</f>
        <v>21 EAM - Screens - 12 - System and Admin - Batch and Report</v>
      </c>
      <c r="C66">
        <v>1789563</v>
      </c>
      <c r="D66" t="s">
        <v>237</v>
      </c>
      <c r="E66" t="s">
        <v>238</v>
      </c>
      <c r="F66" t="s">
        <v>87</v>
      </c>
      <c r="G66" s="6" t="s">
        <v>36</v>
      </c>
      <c r="H66" t="s">
        <v>228</v>
      </c>
      <c r="I66" t="s">
        <v>239</v>
      </c>
      <c r="J66" t="s">
        <v>239</v>
      </c>
      <c r="K66" t="s">
        <v>26</v>
      </c>
      <c r="L66" t="s">
        <v>240</v>
      </c>
      <c r="M66" t="s">
        <v>28</v>
      </c>
      <c r="Q66" t="s">
        <v>29</v>
      </c>
      <c r="R66" t="s">
        <v>29</v>
      </c>
    </row>
    <row r="67" spans="1:20" ht="15" customHeight="1">
      <c r="A67">
        <v>16</v>
      </c>
      <c r="B67" t="str">
        <f>VLOOKUP(C67,Lookups!$G$2:$H$38,2,FALSE)</f>
        <v>21 EAM - Screens - 12 - System and Admin - Batch and Report</v>
      </c>
      <c r="C67">
        <v>1789563</v>
      </c>
      <c r="D67" t="s">
        <v>241</v>
      </c>
      <c r="E67" t="s">
        <v>242</v>
      </c>
      <c r="F67" t="s">
        <v>87</v>
      </c>
      <c r="G67" s="6" t="s">
        <v>36</v>
      </c>
      <c r="H67" t="s">
        <v>228</v>
      </c>
      <c r="I67" t="s">
        <v>239</v>
      </c>
      <c r="J67" t="s">
        <v>239</v>
      </c>
      <c r="K67" t="s">
        <v>26</v>
      </c>
      <c r="L67" t="s">
        <v>243</v>
      </c>
      <c r="M67" t="s">
        <v>28</v>
      </c>
      <c r="Q67" t="s">
        <v>29</v>
      </c>
      <c r="R67" t="s">
        <v>29</v>
      </c>
    </row>
    <row r="68" spans="1:20" ht="15" customHeight="1">
      <c r="A68">
        <v>16</v>
      </c>
      <c r="B68" t="str">
        <f>VLOOKUP(C68,Lookups!$G$2:$H$38,2,FALSE)</f>
        <v>21 EAM - Screens - 12 - System and Admin - Batch and Report</v>
      </c>
      <c r="C68">
        <v>1789563</v>
      </c>
      <c r="D68" t="s">
        <v>244</v>
      </c>
      <c r="E68" t="s">
        <v>245</v>
      </c>
      <c r="F68" t="s">
        <v>87</v>
      </c>
      <c r="G68" s="6" t="s">
        <v>36</v>
      </c>
      <c r="I68" t="s">
        <v>239</v>
      </c>
      <c r="J68" t="s">
        <v>239</v>
      </c>
      <c r="K68" t="s">
        <v>26</v>
      </c>
      <c r="L68" t="s">
        <v>246</v>
      </c>
      <c r="M68" t="s">
        <v>28</v>
      </c>
      <c r="O68" t="s">
        <v>28</v>
      </c>
      <c r="Q68" t="s">
        <v>28</v>
      </c>
      <c r="R68" t="s">
        <v>29</v>
      </c>
    </row>
    <row r="69" spans="1:20" ht="15" customHeight="1">
      <c r="A69">
        <v>16</v>
      </c>
      <c r="B69" t="str">
        <f>VLOOKUP(C69,Lookups!$G$2:$H$38,2,FALSE)</f>
        <v>21 EAM - Screens - 12 - System and Admin - Batch and Report</v>
      </c>
      <c r="C69">
        <v>1789563</v>
      </c>
      <c r="D69" t="s">
        <v>247</v>
      </c>
      <c r="E69" t="s">
        <v>248</v>
      </c>
      <c r="F69" t="s">
        <v>87</v>
      </c>
      <c r="G69" s="6" t="s">
        <v>36</v>
      </c>
      <c r="H69" t="s">
        <v>228</v>
      </c>
      <c r="I69" t="s">
        <v>239</v>
      </c>
      <c r="J69" t="s">
        <v>239</v>
      </c>
      <c r="K69" t="s">
        <v>26</v>
      </c>
      <c r="L69" t="s">
        <v>249</v>
      </c>
      <c r="M69" t="s">
        <v>28</v>
      </c>
      <c r="O69" t="s">
        <v>28</v>
      </c>
      <c r="Q69" t="s">
        <v>28</v>
      </c>
      <c r="R69" t="s">
        <v>28</v>
      </c>
    </row>
    <row r="70" spans="1:20" ht="15" customHeight="1">
      <c r="A70">
        <v>16</v>
      </c>
      <c r="B70" t="str">
        <f>VLOOKUP(C70,Lookups!$G$2:$H$38,2,FALSE)</f>
        <v>21 EAM - Screens - 12 - System and Admin - Batch and Report</v>
      </c>
      <c r="C70">
        <v>1789563</v>
      </c>
      <c r="D70" t="s">
        <v>250</v>
      </c>
      <c r="E70" t="s">
        <v>251</v>
      </c>
      <c r="F70" t="s">
        <v>87</v>
      </c>
      <c r="G70" s="6" t="s">
        <v>36</v>
      </c>
      <c r="H70" t="s">
        <v>228</v>
      </c>
      <c r="I70" t="s">
        <v>239</v>
      </c>
      <c r="J70" t="s">
        <v>239</v>
      </c>
      <c r="K70" t="s">
        <v>26</v>
      </c>
      <c r="L70" t="s">
        <v>252</v>
      </c>
      <c r="M70" t="s">
        <v>28</v>
      </c>
      <c r="Q70" t="s">
        <v>28</v>
      </c>
      <c r="R70" t="s">
        <v>28</v>
      </c>
    </row>
    <row r="71" spans="1:20" ht="15" customHeight="1">
      <c r="A71">
        <v>17</v>
      </c>
      <c r="B71" t="str">
        <f>VLOOKUP(C71,Lookups!$G$2:$H$38,2,FALSE)</f>
        <v>22 EAM - Screens - Master Data/Production/Gas Balancing</v>
      </c>
      <c r="C71">
        <v>1786987</v>
      </c>
      <c r="D71" t="s">
        <v>253</v>
      </c>
      <c r="E71" t="s">
        <v>254</v>
      </c>
      <c r="F71" t="s">
        <v>87</v>
      </c>
      <c r="G71" s="6" t="s">
        <v>36</v>
      </c>
      <c r="H71" t="s">
        <v>228</v>
      </c>
      <c r="I71" t="s">
        <v>255</v>
      </c>
      <c r="J71" t="s">
        <v>256</v>
      </c>
      <c r="K71" t="s">
        <v>201</v>
      </c>
      <c r="L71" t="s">
        <v>257</v>
      </c>
      <c r="M71" t="s">
        <v>28</v>
      </c>
      <c r="N71" t="s">
        <v>28</v>
      </c>
      <c r="Q71" t="s">
        <v>29</v>
      </c>
      <c r="R71" t="s">
        <v>29</v>
      </c>
      <c r="S71" t="s">
        <v>28</v>
      </c>
    </row>
    <row r="72" spans="1:20" ht="15" customHeight="1">
      <c r="A72">
        <v>17</v>
      </c>
      <c r="B72" t="str">
        <f>VLOOKUP(C72,Lookups!$G$2:$H$38,2,FALSE)</f>
        <v>22 EAM - Screens - Master Data/Production/Gas Balancing</v>
      </c>
      <c r="C72">
        <v>1786987</v>
      </c>
      <c r="D72" t="s">
        <v>258</v>
      </c>
      <c r="E72" t="s">
        <v>259</v>
      </c>
      <c r="F72" t="s">
        <v>87</v>
      </c>
      <c r="G72" s="6" t="s">
        <v>36</v>
      </c>
      <c r="H72" t="s">
        <v>228</v>
      </c>
      <c r="I72" t="s">
        <v>255</v>
      </c>
      <c r="J72" t="s">
        <v>256</v>
      </c>
      <c r="K72" t="s">
        <v>201</v>
      </c>
      <c r="L72" t="s">
        <v>260</v>
      </c>
      <c r="M72" t="s">
        <v>28</v>
      </c>
      <c r="N72" t="s">
        <v>28</v>
      </c>
      <c r="Q72" t="s">
        <v>29</v>
      </c>
      <c r="R72" t="s">
        <v>29</v>
      </c>
      <c r="S72" t="s">
        <v>28</v>
      </c>
    </row>
    <row r="73" spans="1:20" ht="15" customHeight="1">
      <c r="A73">
        <v>17</v>
      </c>
      <c r="B73" t="str">
        <f>VLOOKUP(C73,Lookups!$G$2:$H$38,2,FALSE)</f>
        <v>22 EAM - Screens - Master Data/Production/Gas Balancing</v>
      </c>
      <c r="C73">
        <v>1786987</v>
      </c>
      <c r="D73" t="s">
        <v>261</v>
      </c>
      <c r="E73" t="s">
        <v>262</v>
      </c>
      <c r="F73" t="s">
        <v>87</v>
      </c>
      <c r="G73" s="6" t="s">
        <v>36</v>
      </c>
      <c r="H73" t="s">
        <v>228</v>
      </c>
      <c r="I73" t="s">
        <v>255</v>
      </c>
      <c r="J73" t="s">
        <v>256</v>
      </c>
      <c r="K73" t="s">
        <v>201</v>
      </c>
      <c r="M73" t="s">
        <v>28</v>
      </c>
      <c r="N73" t="s">
        <v>28</v>
      </c>
      <c r="Q73" t="s">
        <v>29</v>
      </c>
      <c r="R73" t="s">
        <v>29</v>
      </c>
      <c r="S73" t="s">
        <v>28</v>
      </c>
    </row>
    <row r="74" spans="1:20" ht="15" customHeight="1">
      <c r="A74">
        <v>17</v>
      </c>
      <c r="B74" t="str">
        <f>VLOOKUP(C74,Lookups!$G$2:$H$38,2,FALSE)</f>
        <v>22 EAM - Screens - Master Data/Production/Gas Balancing</v>
      </c>
      <c r="C74">
        <v>1786987</v>
      </c>
      <c r="D74" t="s">
        <v>263</v>
      </c>
      <c r="E74" t="s">
        <v>264</v>
      </c>
      <c r="F74" t="s">
        <v>22</v>
      </c>
      <c r="G74" s="6" t="s">
        <v>36</v>
      </c>
      <c r="I74" t="s">
        <v>265</v>
      </c>
      <c r="J74" t="s">
        <v>266</v>
      </c>
      <c r="K74" t="s">
        <v>26</v>
      </c>
      <c r="L74" t="s">
        <v>267</v>
      </c>
      <c r="M74" t="s">
        <v>28</v>
      </c>
      <c r="N74" t="s">
        <v>28</v>
      </c>
      <c r="Q74" t="s">
        <v>29</v>
      </c>
      <c r="R74" t="s">
        <v>29</v>
      </c>
      <c r="S74" t="s">
        <v>28</v>
      </c>
    </row>
    <row r="75" spans="1:20" ht="15" customHeight="1">
      <c r="A75">
        <v>17</v>
      </c>
      <c r="B75" t="str">
        <f>VLOOKUP(C75,Lookups!$G$2:$H$38,2,FALSE)</f>
        <v>22 EAM - Screens - Master Data/Production/Gas Balancing</v>
      </c>
      <c r="C75">
        <v>1786987</v>
      </c>
      <c r="D75" t="s">
        <v>268</v>
      </c>
      <c r="E75" t="s">
        <v>269</v>
      </c>
      <c r="F75" t="s">
        <v>22</v>
      </c>
      <c r="G75" s="6" t="s">
        <v>36</v>
      </c>
      <c r="I75" t="s">
        <v>265</v>
      </c>
      <c r="J75" t="s">
        <v>266</v>
      </c>
      <c r="K75" t="s">
        <v>26</v>
      </c>
      <c r="L75" t="s">
        <v>270</v>
      </c>
      <c r="M75" t="s">
        <v>28</v>
      </c>
      <c r="N75" t="s">
        <v>28</v>
      </c>
      <c r="Q75" t="s">
        <v>29</v>
      </c>
      <c r="R75" t="s">
        <v>29</v>
      </c>
      <c r="S75" t="s">
        <v>28</v>
      </c>
      <c r="T75" s="17" t="s">
        <v>271</v>
      </c>
    </row>
    <row r="76" spans="1:20" ht="15" customHeight="1">
      <c r="A76">
        <v>17</v>
      </c>
      <c r="B76" t="str">
        <f>VLOOKUP(C76,Lookups!$G$2:$H$38,2,FALSE)</f>
        <v>22 EAM - Screens - Master Data/Production/Gas Balancing</v>
      </c>
      <c r="C76">
        <v>1786987</v>
      </c>
      <c r="D76" s="11" t="s">
        <v>272</v>
      </c>
      <c r="E76" t="s">
        <v>273</v>
      </c>
      <c r="F76" t="s">
        <v>87</v>
      </c>
      <c r="G76" s="6" t="s">
        <v>36</v>
      </c>
      <c r="I76" t="s">
        <v>274</v>
      </c>
      <c r="J76" t="s">
        <v>275</v>
      </c>
      <c r="K76" t="s">
        <v>26</v>
      </c>
      <c r="L76" t="s">
        <v>276</v>
      </c>
      <c r="M76" t="s">
        <v>28</v>
      </c>
      <c r="N76" t="s">
        <v>28</v>
      </c>
      <c r="Q76" t="s">
        <v>29</v>
      </c>
      <c r="R76" t="s">
        <v>29</v>
      </c>
    </row>
    <row r="77" spans="1:20" ht="15" customHeight="1">
      <c r="A77">
        <v>17</v>
      </c>
      <c r="B77" t="str">
        <f>VLOOKUP(C77,Lookups!$G$2:$H$38,2,FALSE)</f>
        <v>22 EAM - Screens - Master Data/Production/Gas Balancing</v>
      </c>
      <c r="C77">
        <v>1786987</v>
      </c>
      <c r="D77" s="11" t="s">
        <v>277</v>
      </c>
      <c r="E77" t="s">
        <v>278</v>
      </c>
      <c r="F77" t="s">
        <v>22</v>
      </c>
      <c r="G77" s="6" t="s">
        <v>36</v>
      </c>
      <c r="I77" t="s">
        <v>255</v>
      </c>
      <c r="J77" t="s">
        <v>256</v>
      </c>
      <c r="K77" t="s">
        <v>26</v>
      </c>
      <c r="L77" t="s">
        <v>279</v>
      </c>
      <c r="M77" t="s">
        <v>146</v>
      </c>
      <c r="Q77" t="s">
        <v>29</v>
      </c>
      <c r="R77" t="s">
        <v>29</v>
      </c>
    </row>
    <row r="78" spans="1:20" ht="15" customHeight="1">
      <c r="A78">
        <v>17</v>
      </c>
      <c r="B78" t="str">
        <f>VLOOKUP(C78,Lookups!$G$2:$H$38,2,FALSE)</f>
        <v>22 EAM - Screens - Master Data/Production/Gas Balancing</v>
      </c>
      <c r="C78">
        <v>1786987</v>
      </c>
      <c r="D78" t="s">
        <v>280</v>
      </c>
      <c r="E78" t="s">
        <v>281</v>
      </c>
      <c r="F78" t="s">
        <v>22</v>
      </c>
      <c r="G78" s="6" t="s">
        <v>36</v>
      </c>
      <c r="I78" t="s">
        <v>255</v>
      </c>
      <c r="J78" t="s">
        <v>256</v>
      </c>
      <c r="K78" t="s">
        <v>26</v>
      </c>
      <c r="L78" t="s">
        <v>282</v>
      </c>
      <c r="M78" t="s">
        <v>146</v>
      </c>
      <c r="Q78" t="s">
        <v>29</v>
      </c>
      <c r="R78" t="s">
        <v>29</v>
      </c>
    </row>
    <row r="79" spans="1:20" ht="15" customHeight="1">
      <c r="A79">
        <v>17</v>
      </c>
      <c r="B79" t="str">
        <f>VLOOKUP(C79,Lookups!$G$2:$H$38,2,FALSE)</f>
        <v>22 EAM - Screens - Master Data/Production/Gas Balancing</v>
      </c>
      <c r="C79">
        <v>1786987</v>
      </c>
      <c r="D79" t="s">
        <v>283</v>
      </c>
      <c r="E79" t="s">
        <v>284</v>
      </c>
      <c r="F79" t="s">
        <v>87</v>
      </c>
      <c r="G79" s="6" t="s">
        <v>36</v>
      </c>
      <c r="H79" s="12" t="s">
        <v>97</v>
      </c>
      <c r="I79" t="s">
        <v>285</v>
      </c>
      <c r="J79" t="s">
        <v>285</v>
      </c>
      <c r="K79" t="s">
        <v>26</v>
      </c>
      <c r="L79" t="s">
        <v>286</v>
      </c>
      <c r="M79" t="s">
        <v>28</v>
      </c>
      <c r="Q79" t="s">
        <v>29</v>
      </c>
      <c r="R79" t="s">
        <v>29</v>
      </c>
    </row>
    <row r="80" spans="1:20" ht="15" customHeight="1">
      <c r="A80">
        <v>17</v>
      </c>
      <c r="B80" t="str">
        <f>VLOOKUP(C80,Lookups!$G$2:$H$38,2,FALSE)</f>
        <v>22 EAM - Screens - Master Data/Production/Gas Balancing</v>
      </c>
      <c r="C80">
        <v>1786987</v>
      </c>
      <c r="D80" s="11" t="s">
        <v>287</v>
      </c>
      <c r="E80" t="s">
        <v>288</v>
      </c>
      <c r="F80" t="s">
        <v>22</v>
      </c>
      <c r="G80" s="6" t="s">
        <v>36</v>
      </c>
      <c r="I80" t="s">
        <v>285</v>
      </c>
      <c r="J80" t="s">
        <v>285</v>
      </c>
      <c r="K80" t="s">
        <v>26</v>
      </c>
      <c r="L80" t="s">
        <v>289</v>
      </c>
      <c r="M80" t="s">
        <v>28</v>
      </c>
      <c r="N80" t="s">
        <v>28</v>
      </c>
      <c r="Q80" t="s">
        <v>29</v>
      </c>
      <c r="R80" t="s">
        <v>29</v>
      </c>
    </row>
    <row r="81" spans="1:18" ht="15" customHeight="1">
      <c r="A81">
        <v>17</v>
      </c>
      <c r="B81" t="str">
        <f>VLOOKUP(C81,Lookups!$G$2:$H$38,2,FALSE)</f>
        <v>22 EAM - Screens - Master Data/Production/Gas Balancing</v>
      </c>
      <c r="C81">
        <v>1786987</v>
      </c>
      <c r="D81" t="s">
        <v>290</v>
      </c>
      <c r="E81" t="s">
        <v>291</v>
      </c>
      <c r="F81" t="s">
        <v>22</v>
      </c>
      <c r="G81" s="6" t="s">
        <v>36</v>
      </c>
      <c r="I81" t="s">
        <v>285</v>
      </c>
      <c r="J81" t="s">
        <v>285</v>
      </c>
      <c r="K81" t="s">
        <v>26</v>
      </c>
      <c r="L81" t="s">
        <v>292</v>
      </c>
      <c r="M81" t="s">
        <v>28</v>
      </c>
      <c r="N81" t="s">
        <v>28</v>
      </c>
      <c r="Q81" t="s">
        <v>29</v>
      </c>
      <c r="R81" t="s">
        <v>29</v>
      </c>
    </row>
  </sheetData>
  <autoFilter ref="A1:T81" xr:uid="{75E31009-6834-45DC-99D6-2DC7F1C3CA27}">
    <sortState xmlns:xlrd2="http://schemas.microsoft.com/office/spreadsheetml/2017/richdata2" ref="A2:T81">
      <sortCondition ref="A1:A81"/>
    </sortState>
  </autoFilter>
  <dataValidations count="1">
    <dataValidation allowBlank="1" showInputMessage="1" showErrorMessage="1" sqref="G1:G1048576 H48:H52 H23:H34 H1:H18 H54:H1048576 H37:H45" xr:uid="{307B43A8-F004-4989-9E5E-C2422DF92896}"/>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D42964D-2DFD-4F06-B267-A13AFF1F762E}">
          <x14:formula1>
            <xm:f>Lookups!$C$2:$C$4</xm:f>
          </x14:formula1>
          <xm:sqref>F1:F1048576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267E2-6C20-426E-B03A-F09E23DA1B2F}">
  <dimension ref="A1:N81"/>
  <sheetViews>
    <sheetView topLeftCell="E13" workbookViewId="0">
      <selection activeCell="H27" sqref="H27"/>
    </sheetView>
  </sheetViews>
  <sheetFormatPr defaultRowHeight="15" customHeight="1"/>
  <cols>
    <col min="2" max="2" width="38.7109375" bestFit="1" customWidth="1"/>
    <col min="3" max="4" width="38.7109375" customWidth="1"/>
    <col min="5" max="5" width="64.7109375" customWidth="1"/>
    <col min="6" max="6" width="10" bestFit="1" customWidth="1"/>
    <col min="7" max="10" width="38.7109375" customWidth="1"/>
    <col min="11" max="12" width="9.140625" customWidth="1"/>
    <col min="13" max="13" width="10.28515625" customWidth="1"/>
    <col min="14" max="14" width="16.7109375" customWidth="1"/>
  </cols>
  <sheetData>
    <row r="1" spans="1:14">
      <c r="A1" t="s">
        <v>3</v>
      </c>
      <c r="B1" t="s">
        <v>4</v>
      </c>
      <c r="C1" t="s">
        <v>5</v>
      </c>
      <c r="D1" t="s">
        <v>6</v>
      </c>
      <c r="E1" t="s">
        <v>7</v>
      </c>
      <c r="F1" t="s">
        <v>293</v>
      </c>
      <c r="G1" t="s">
        <v>8</v>
      </c>
      <c r="H1" t="s">
        <v>9</v>
      </c>
      <c r="I1" t="s">
        <v>10</v>
      </c>
      <c r="J1" t="s">
        <v>11</v>
      </c>
      <c r="K1" t="s">
        <v>12</v>
      </c>
      <c r="L1" t="s">
        <v>13</v>
      </c>
      <c r="M1" t="s">
        <v>14</v>
      </c>
      <c r="N1" t="s">
        <v>15</v>
      </c>
    </row>
    <row r="2" spans="1:14" s="2" customFormat="1">
      <c r="A2" s="3" t="s">
        <v>161</v>
      </c>
      <c r="B2" s="2" t="s">
        <v>162</v>
      </c>
      <c r="C2" s="2" t="s">
        <v>22</v>
      </c>
      <c r="D2" s="2" t="s">
        <v>36</v>
      </c>
      <c r="F2" s="2">
        <v>1786986</v>
      </c>
      <c r="G2" s="2" t="s">
        <v>155</v>
      </c>
      <c r="H2" s="2" t="s">
        <v>156</v>
      </c>
      <c r="I2" s="2" t="s">
        <v>26</v>
      </c>
      <c r="J2" s="2" t="s">
        <v>163</v>
      </c>
      <c r="K2" s="2" t="s">
        <v>28</v>
      </c>
      <c r="L2" s="2" t="s">
        <v>28</v>
      </c>
    </row>
    <row r="3" spans="1:14" s="2" customFormat="1">
      <c r="A3" s="3" t="s">
        <v>164</v>
      </c>
      <c r="B3" s="2" t="s">
        <v>165</v>
      </c>
      <c r="C3" s="2" t="s">
        <v>22</v>
      </c>
      <c r="D3" s="2" t="s">
        <v>36</v>
      </c>
      <c r="F3" s="2">
        <v>1786986</v>
      </c>
      <c r="G3" s="2" t="s">
        <v>155</v>
      </c>
      <c r="H3" s="2" t="s">
        <v>156</v>
      </c>
      <c r="I3" s="2" t="s">
        <v>26</v>
      </c>
      <c r="J3" s="2" t="s">
        <v>166</v>
      </c>
      <c r="K3" s="2" t="s">
        <v>28</v>
      </c>
      <c r="L3" s="2" t="s">
        <v>28</v>
      </c>
    </row>
    <row r="4" spans="1:14" s="2" customFormat="1">
      <c r="A4" s="3" t="s">
        <v>167</v>
      </c>
      <c r="B4" s="2" t="s">
        <v>168</v>
      </c>
      <c r="C4" s="2" t="s">
        <v>22</v>
      </c>
      <c r="D4" s="2" t="s">
        <v>36</v>
      </c>
      <c r="F4" s="2">
        <v>1786986</v>
      </c>
      <c r="G4" s="2" t="s">
        <v>155</v>
      </c>
      <c r="H4" s="2" t="s">
        <v>156</v>
      </c>
      <c r="I4" s="2" t="s">
        <v>26</v>
      </c>
      <c r="J4" s="2" t="s">
        <v>169</v>
      </c>
      <c r="K4" s="2" t="s">
        <v>28</v>
      </c>
      <c r="L4" s="2" t="s">
        <v>28</v>
      </c>
    </row>
    <row r="5" spans="1:14" s="2" customFormat="1">
      <c r="A5" s="3" t="s">
        <v>158</v>
      </c>
      <c r="B5" s="2" t="s">
        <v>159</v>
      </c>
      <c r="C5" s="2" t="s">
        <v>22</v>
      </c>
      <c r="D5" s="2" t="s">
        <v>160</v>
      </c>
      <c r="F5" s="2">
        <v>1786986</v>
      </c>
      <c r="G5" s="2" t="s">
        <v>155</v>
      </c>
      <c r="H5" s="2" t="s">
        <v>156</v>
      </c>
      <c r="I5" s="2" t="s">
        <v>26</v>
      </c>
    </row>
    <row r="6" spans="1:14" s="2" customFormat="1">
      <c r="A6" s="3" t="s">
        <v>153</v>
      </c>
      <c r="B6" s="2" t="s">
        <v>154</v>
      </c>
      <c r="C6" s="2" t="s">
        <v>22</v>
      </c>
      <c r="D6" s="2" t="s">
        <v>36</v>
      </c>
      <c r="F6" s="2">
        <v>1786986</v>
      </c>
      <c r="G6" s="2" t="s">
        <v>155</v>
      </c>
      <c r="H6" s="2" t="s">
        <v>156</v>
      </c>
      <c r="I6" s="2" t="s">
        <v>157</v>
      </c>
    </row>
    <row r="7" spans="1:14">
      <c r="A7" s="1" t="s">
        <v>170</v>
      </c>
      <c r="B7" t="s">
        <v>171</v>
      </c>
      <c r="C7" t="s">
        <v>87</v>
      </c>
      <c r="D7" t="s">
        <v>36</v>
      </c>
      <c r="F7" s="2">
        <v>1786986</v>
      </c>
      <c r="G7" t="s">
        <v>155</v>
      </c>
      <c r="H7" t="s">
        <v>156</v>
      </c>
      <c r="I7" t="s">
        <v>26</v>
      </c>
      <c r="J7" t="s">
        <v>172</v>
      </c>
      <c r="K7" t="s">
        <v>28</v>
      </c>
      <c r="L7" t="s">
        <v>28</v>
      </c>
    </row>
    <row r="8" spans="1:14">
      <c r="A8" t="s">
        <v>173</v>
      </c>
      <c r="B8" t="s">
        <v>174</v>
      </c>
      <c r="C8" t="s">
        <v>87</v>
      </c>
      <c r="D8" t="s">
        <v>36</v>
      </c>
      <c r="F8" s="2">
        <v>1786986</v>
      </c>
      <c r="G8" t="s">
        <v>155</v>
      </c>
      <c r="H8" t="s">
        <v>156</v>
      </c>
      <c r="I8" t="s">
        <v>26</v>
      </c>
      <c r="J8" t="s">
        <v>175</v>
      </c>
      <c r="K8" t="s">
        <v>28</v>
      </c>
      <c r="L8" t="s">
        <v>28</v>
      </c>
    </row>
    <row r="9" spans="1:14">
      <c r="A9" s="2" t="s">
        <v>263</v>
      </c>
      <c r="B9" s="2" t="s">
        <v>264</v>
      </c>
      <c r="C9" s="2" t="s">
        <v>22</v>
      </c>
      <c r="D9" s="2" t="s">
        <v>36</v>
      </c>
      <c r="E9" s="2"/>
      <c r="F9" s="2">
        <v>1786987</v>
      </c>
      <c r="G9" s="2" t="s">
        <v>265</v>
      </c>
      <c r="H9" s="2" t="s">
        <v>266</v>
      </c>
      <c r="I9" s="2" t="s">
        <v>26</v>
      </c>
      <c r="J9" s="2" t="s">
        <v>267</v>
      </c>
      <c r="K9" s="2" t="s">
        <v>28</v>
      </c>
      <c r="L9" s="2" t="s">
        <v>28</v>
      </c>
      <c r="M9" s="2"/>
      <c r="N9" s="2"/>
    </row>
    <row r="10" spans="1:14">
      <c r="A10" s="2" t="s">
        <v>268</v>
      </c>
      <c r="B10" s="2" t="s">
        <v>269</v>
      </c>
      <c r="C10" s="2" t="s">
        <v>22</v>
      </c>
      <c r="D10" s="2" t="s">
        <v>36</v>
      </c>
      <c r="E10" s="2"/>
      <c r="F10" s="2">
        <v>1786987</v>
      </c>
      <c r="G10" s="2" t="s">
        <v>265</v>
      </c>
      <c r="H10" s="2" t="s">
        <v>266</v>
      </c>
      <c r="I10" s="2" t="s">
        <v>26</v>
      </c>
      <c r="J10" s="2" t="s">
        <v>270</v>
      </c>
      <c r="K10" s="2" t="s">
        <v>28</v>
      </c>
      <c r="L10" s="2" t="s">
        <v>28</v>
      </c>
      <c r="M10" s="2"/>
      <c r="N10" s="2"/>
    </row>
    <row r="11" spans="1:14">
      <c r="A11" t="s">
        <v>202</v>
      </c>
      <c r="B11" t="s">
        <v>203</v>
      </c>
      <c r="C11" t="s">
        <v>67</v>
      </c>
      <c r="D11" t="s">
        <v>36</v>
      </c>
      <c r="E11" t="s">
        <v>204</v>
      </c>
      <c r="F11">
        <v>1786975</v>
      </c>
      <c r="G11" t="s">
        <v>205</v>
      </c>
      <c r="H11" t="s">
        <v>206</v>
      </c>
      <c r="I11" t="s">
        <v>26</v>
      </c>
      <c r="K11" t="s">
        <v>28</v>
      </c>
      <c r="N11" t="s">
        <v>28</v>
      </c>
    </row>
    <row r="12" spans="1:14">
      <c r="A12" t="s">
        <v>207</v>
      </c>
      <c r="B12" t="s">
        <v>208</v>
      </c>
      <c r="C12" t="s">
        <v>67</v>
      </c>
      <c r="D12" t="s">
        <v>36</v>
      </c>
      <c r="E12" t="s">
        <v>204</v>
      </c>
      <c r="F12">
        <v>1786975</v>
      </c>
      <c r="G12" t="s">
        <v>205</v>
      </c>
      <c r="H12" t="s">
        <v>206</v>
      </c>
      <c r="I12" t="s">
        <v>26</v>
      </c>
      <c r="K12" t="s">
        <v>28</v>
      </c>
      <c r="N12" t="s">
        <v>28</v>
      </c>
    </row>
    <row r="13" spans="1:14">
      <c r="A13" t="s">
        <v>229</v>
      </c>
      <c r="B13" t="s">
        <v>230</v>
      </c>
      <c r="C13" t="s">
        <v>67</v>
      </c>
      <c r="D13" t="s">
        <v>36</v>
      </c>
      <c r="E13" t="s">
        <v>204</v>
      </c>
      <c r="F13">
        <v>1786975</v>
      </c>
      <c r="G13" t="s">
        <v>205</v>
      </c>
      <c r="H13" t="s">
        <v>206</v>
      </c>
      <c r="I13" t="s">
        <v>201</v>
      </c>
      <c r="J13" t="s">
        <v>232</v>
      </c>
      <c r="K13" t="s">
        <v>28</v>
      </c>
      <c r="L13" t="s">
        <v>28</v>
      </c>
    </row>
    <row r="14" spans="1:14">
      <c r="A14" s="1" t="s">
        <v>209</v>
      </c>
      <c r="B14" t="s">
        <v>210</v>
      </c>
      <c r="C14" t="s">
        <v>67</v>
      </c>
      <c r="D14" t="s">
        <v>63</v>
      </c>
      <c r="E14" t="s">
        <v>204</v>
      </c>
      <c r="F14">
        <v>1786975</v>
      </c>
      <c r="G14" t="s">
        <v>205</v>
      </c>
      <c r="H14" t="s">
        <v>206</v>
      </c>
      <c r="I14" t="s">
        <v>201</v>
      </c>
      <c r="J14" t="s">
        <v>211</v>
      </c>
      <c r="K14" t="s">
        <v>28</v>
      </c>
      <c r="L14" t="s">
        <v>28</v>
      </c>
    </row>
    <row r="15" spans="1:14">
      <c r="A15" t="s">
        <v>212</v>
      </c>
      <c r="B15" t="s">
        <v>213</v>
      </c>
      <c r="C15" t="s">
        <v>67</v>
      </c>
      <c r="D15" t="s">
        <v>214</v>
      </c>
      <c r="E15" t="s">
        <v>204</v>
      </c>
      <c r="F15">
        <v>1786975</v>
      </c>
      <c r="G15" t="s">
        <v>205</v>
      </c>
      <c r="H15" t="s">
        <v>206</v>
      </c>
      <c r="I15" t="s">
        <v>201</v>
      </c>
      <c r="J15" t="s">
        <v>215</v>
      </c>
      <c r="K15" t="s">
        <v>28</v>
      </c>
    </row>
    <row r="16" spans="1:14">
      <c r="A16" t="s">
        <v>216</v>
      </c>
      <c r="B16" s="1" t="s">
        <v>217</v>
      </c>
      <c r="C16" t="s">
        <v>67</v>
      </c>
      <c r="D16" t="s">
        <v>36</v>
      </c>
      <c r="E16" t="s">
        <v>204</v>
      </c>
      <c r="F16">
        <v>1786975</v>
      </c>
      <c r="G16" t="s">
        <v>205</v>
      </c>
      <c r="H16" t="s">
        <v>206</v>
      </c>
      <c r="I16" t="s">
        <v>201</v>
      </c>
    </row>
    <row r="17" spans="1:14">
      <c r="A17" t="s">
        <v>216</v>
      </c>
      <c r="B17" s="5" t="s">
        <v>218</v>
      </c>
      <c r="C17" t="s">
        <v>67</v>
      </c>
      <c r="D17" t="s">
        <v>36</v>
      </c>
      <c r="E17" t="s">
        <v>204</v>
      </c>
      <c r="F17">
        <v>1786975</v>
      </c>
      <c r="G17" t="s">
        <v>205</v>
      </c>
      <c r="H17" t="s">
        <v>206</v>
      </c>
      <c r="I17" t="s">
        <v>201</v>
      </c>
      <c r="N17" t="s">
        <v>219</v>
      </c>
    </row>
    <row r="18" spans="1:14">
      <c r="A18" t="s">
        <v>216</v>
      </c>
      <c r="B18" s="5" t="s">
        <v>235</v>
      </c>
      <c r="C18" t="s">
        <v>67</v>
      </c>
      <c r="D18" t="s">
        <v>36</v>
      </c>
      <c r="E18" t="s">
        <v>204</v>
      </c>
      <c r="F18">
        <v>1786975</v>
      </c>
      <c r="G18" t="s">
        <v>205</v>
      </c>
      <c r="H18" t="s">
        <v>206</v>
      </c>
      <c r="I18" t="s">
        <v>201</v>
      </c>
      <c r="N18" t="s">
        <v>219</v>
      </c>
    </row>
    <row r="19" spans="1:14">
      <c r="A19" t="s">
        <v>216</v>
      </c>
      <c r="B19" s="5" t="s">
        <v>236</v>
      </c>
      <c r="C19" t="s">
        <v>67</v>
      </c>
      <c r="D19" t="s">
        <v>36</v>
      </c>
      <c r="E19" t="s">
        <v>204</v>
      </c>
      <c r="F19">
        <v>1786975</v>
      </c>
      <c r="G19" t="s">
        <v>205</v>
      </c>
      <c r="H19" t="s">
        <v>206</v>
      </c>
      <c r="I19" t="s">
        <v>201</v>
      </c>
    </row>
    <row r="20" spans="1:14">
      <c r="A20" t="s">
        <v>216</v>
      </c>
      <c r="B20" t="s">
        <v>225</v>
      </c>
      <c r="C20" t="s">
        <v>67</v>
      </c>
      <c r="D20" t="s">
        <v>36</v>
      </c>
      <c r="E20" t="s">
        <v>204</v>
      </c>
      <c r="F20">
        <v>1786975</v>
      </c>
      <c r="G20" t="s">
        <v>205</v>
      </c>
      <c r="H20" t="s">
        <v>206</v>
      </c>
      <c r="I20" t="s">
        <v>201</v>
      </c>
    </row>
    <row r="21" spans="1:14">
      <c r="A21" t="s">
        <v>216</v>
      </c>
      <c r="B21" t="s">
        <v>233</v>
      </c>
      <c r="C21" t="s">
        <v>67</v>
      </c>
      <c r="D21" t="s">
        <v>234</v>
      </c>
      <c r="E21" t="s">
        <v>204</v>
      </c>
      <c r="F21">
        <v>1786975</v>
      </c>
      <c r="G21" t="s">
        <v>205</v>
      </c>
      <c r="H21" t="s">
        <v>206</v>
      </c>
    </row>
    <row r="22" spans="1:14">
      <c r="A22" t="s">
        <v>220</v>
      </c>
      <c r="B22" t="s">
        <v>221</v>
      </c>
      <c r="C22" t="s">
        <v>67</v>
      </c>
      <c r="D22" t="s">
        <v>36</v>
      </c>
      <c r="F22">
        <v>1786975</v>
      </c>
      <c r="G22" t="s">
        <v>205</v>
      </c>
      <c r="H22" t="s">
        <v>206</v>
      </c>
      <c r="I22" t="s">
        <v>26</v>
      </c>
    </row>
    <row r="23" spans="1:14">
      <c r="A23" t="s">
        <v>222</v>
      </c>
      <c r="B23" t="s">
        <v>223</v>
      </c>
      <c r="C23" t="s">
        <v>67</v>
      </c>
      <c r="D23" t="s">
        <v>36</v>
      </c>
      <c r="E23" t="s">
        <v>204</v>
      </c>
      <c r="F23">
        <v>1786975</v>
      </c>
      <c r="G23" t="s">
        <v>205</v>
      </c>
      <c r="H23" t="s">
        <v>206</v>
      </c>
      <c r="I23" t="s">
        <v>26</v>
      </c>
      <c r="J23" t="s">
        <v>224</v>
      </c>
      <c r="K23" t="s">
        <v>28</v>
      </c>
      <c r="N23" t="s">
        <v>28</v>
      </c>
    </row>
    <row r="24" spans="1:14">
      <c r="A24" t="s">
        <v>226</v>
      </c>
      <c r="B24" t="s">
        <v>227</v>
      </c>
      <c r="C24" t="s">
        <v>87</v>
      </c>
      <c r="D24" t="s">
        <v>36</v>
      </c>
      <c r="E24" t="s">
        <v>228</v>
      </c>
      <c r="F24">
        <v>1786975</v>
      </c>
      <c r="G24" t="s">
        <v>205</v>
      </c>
      <c r="H24" t="s">
        <v>206</v>
      </c>
      <c r="I24" t="s">
        <v>201</v>
      </c>
      <c r="K24" t="s">
        <v>28</v>
      </c>
      <c r="L24" t="s">
        <v>28</v>
      </c>
      <c r="N24" t="s">
        <v>28</v>
      </c>
    </row>
    <row r="25" spans="1:14">
      <c r="A25" t="s">
        <v>187</v>
      </c>
      <c r="B25" t="s">
        <v>188</v>
      </c>
      <c r="C25" t="s">
        <v>67</v>
      </c>
      <c r="D25" t="s">
        <v>189</v>
      </c>
      <c r="E25" t="s">
        <v>190</v>
      </c>
      <c r="F25">
        <v>1786985</v>
      </c>
      <c r="G25" t="s">
        <v>191</v>
      </c>
      <c r="H25" t="s">
        <v>191</v>
      </c>
      <c r="I25" t="s">
        <v>157</v>
      </c>
    </row>
    <row r="26" spans="1:14">
      <c r="A26" t="s">
        <v>192</v>
      </c>
      <c r="B26" t="s">
        <v>193</v>
      </c>
      <c r="C26" t="s">
        <v>67</v>
      </c>
      <c r="D26" t="s">
        <v>194</v>
      </c>
      <c r="E26" t="s">
        <v>190</v>
      </c>
      <c r="F26">
        <v>1786985</v>
      </c>
      <c r="G26" t="s">
        <v>191</v>
      </c>
      <c r="H26" t="s">
        <v>191</v>
      </c>
      <c r="I26" t="s">
        <v>26</v>
      </c>
    </row>
    <row r="27" spans="1:14">
      <c r="A27" t="s">
        <v>195</v>
      </c>
      <c r="B27" t="s">
        <v>196</v>
      </c>
      <c r="C27" t="s">
        <v>67</v>
      </c>
      <c r="D27" t="s">
        <v>194</v>
      </c>
      <c r="E27" t="s">
        <v>190</v>
      </c>
      <c r="F27">
        <v>1786985</v>
      </c>
      <c r="G27" t="s">
        <v>191</v>
      </c>
      <c r="H27" t="s">
        <v>191</v>
      </c>
      <c r="I27" t="s">
        <v>26</v>
      </c>
    </row>
    <row r="28" spans="1:14">
      <c r="A28" t="s">
        <v>197</v>
      </c>
      <c r="B28" t="s">
        <v>198</v>
      </c>
      <c r="C28" t="s">
        <v>67</v>
      </c>
      <c r="D28" t="s">
        <v>194</v>
      </c>
      <c r="E28" t="s">
        <v>190</v>
      </c>
      <c r="F28">
        <v>1786985</v>
      </c>
      <c r="G28" t="s">
        <v>191</v>
      </c>
      <c r="H28" t="s">
        <v>191</v>
      </c>
      <c r="I28" t="s">
        <v>157</v>
      </c>
    </row>
    <row r="29" spans="1:14">
      <c r="A29" s="4" t="s">
        <v>199</v>
      </c>
      <c r="B29" t="s">
        <v>200</v>
      </c>
      <c r="C29" t="s">
        <v>67</v>
      </c>
      <c r="D29" t="s">
        <v>36</v>
      </c>
      <c r="E29" t="s">
        <v>190</v>
      </c>
      <c r="F29">
        <v>1786985</v>
      </c>
      <c r="G29" t="s">
        <v>191</v>
      </c>
      <c r="H29" t="s">
        <v>191</v>
      </c>
      <c r="I29" t="s">
        <v>201</v>
      </c>
      <c r="K29" t="s">
        <v>28</v>
      </c>
      <c r="L29" t="s">
        <v>28</v>
      </c>
    </row>
    <row r="30" spans="1:14">
      <c r="A30" s="1" t="s">
        <v>272</v>
      </c>
      <c r="B30" t="s">
        <v>273</v>
      </c>
      <c r="C30" t="s">
        <v>87</v>
      </c>
      <c r="D30" t="s">
        <v>36</v>
      </c>
      <c r="F30" s="2">
        <v>1786987</v>
      </c>
      <c r="G30" t="s">
        <v>274</v>
      </c>
      <c r="H30" t="s">
        <v>275</v>
      </c>
      <c r="I30" t="s">
        <v>26</v>
      </c>
      <c r="J30" t="s">
        <v>276</v>
      </c>
      <c r="K30" t="s">
        <v>28</v>
      </c>
      <c r="L30" t="s">
        <v>28</v>
      </c>
    </row>
    <row r="31" spans="1:14">
      <c r="A31" s="1" t="s">
        <v>38</v>
      </c>
      <c r="B31" t="s">
        <v>39</v>
      </c>
      <c r="C31" t="s">
        <v>22</v>
      </c>
      <c r="D31" t="s">
        <v>36</v>
      </c>
      <c r="F31">
        <v>1786978</v>
      </c>
      <c r="G31" t="s">
        <v>40</v>
      </c>
      <c r="H31" t="s">
        <v>41</v>
      </c>
      <c r="I31" t="s">
        <v>26</v>
      </c>
      <c r="J31" t="s">
        <v>42</v>
      </c>
      <c r="K31" t="s">
        <v>28</v>
      </c>
      <c r="L31" t="s">
        <v>28</v>
      </c>
    </row>
    <row r="32" spans="1:14" s="2" customFormat="1">
      <c r="A32" s="1" t="s">
        <v>43</v>
      </c>
      <c r="B32" t="s">
        <v>44</v>
      </c>
      <c r="C32" t="s">
        <v>22</v>
      </c>
      <c r="D32" t="s">
        <v>36</v>
      </c>
      <c r="E32"/>
      <c r="F32">
        <v>1786978</v>
      </c>
      <c r="G32" t="s">
        <v>40</v>
      </c>
      <c r="H32" t="s">
        <v>41</v>
      </c>
      <c r="I32" t="s">
        <v>26</v>
      </c>
      <c r="J32" t="s">
        <v>45</v>
      </c>
      <c r="K32" t="s">
        <v>28</v>
      </c>
      <c r="L32" t="s">
        <v>28</v>
      </c>
      <c r="M32"/>
      <c r="N32"/>
    </row>
    <row r="33" spans="1:14" s="2" customFormat="1">
      <c r="A33" s="1" t="s">
        <v>46</v>
      </c>
      <c r="B33" t="s">
        <v>47</v>
      </c>
      <c r="C33" t="s">
        <v>22</v>
      </c>
      <c r="D33" t="s">
        <v>36</v>
      </c>
      <c r="E33"/>
      <c r="F33">
        <v>1786978</v>
      </c>
      <c r="G33" t="s">
        <v>40</v>
      </c>
      <c r="H33" t="s">
        <v>41</v>
      </c>
      <c r="I33" t="s">
        <v>26</v>
      </c>
      <c r="J33" t="s">
        <v>48</v>
      </c>
      <c r="K33" t="s">
        <v>28</v>
      </c>
      <c r="L33" t="s">
        <v>28</v>
      </c>
      <c r="M33"/>
      <c r="N33"/>
    </row>
    <row r="34" spans="1:14">
      <c r="A34" s="1" t="s">
        <v>49</v>
      </c>
      <c r="B34" t="s">
        <v>50</v>
      </c>
      <c r="C34" t="s">
        <v>22</v>
      </c>
      <c r="D34" t="s">
        <v>36</v>
      </c>
      <c r="F34">
        <v>1786978</v>
      </c>
      <c r="G34" t="s">
        <v>40</v>
      </c>
      <c r="H34" t="s">
        <v>41</v>
      </c>
      <c r="I34" t="s">
        <v>26</v>
      </c>
      <c r="J34" t="s">
        <v>51</v>
      </c>
      <c r="K34" t="s">
        <v>28</v>
      </c>
      <c r="L34" t="s">
        <v>28</v>
      </c>
    </row>
    <row r="35" spans="1:14">
      <c r="A35" s="1" t="s">
        <v>52</v>
      </c>
      <c r="B35" t="s">
        <v>53</v>
      </c>
      <c r="C35" t="s">
        <v>22</v>
      </c>
      <c r="D35" t="s">
        <v>36</v>
      </c>
      <c r="F35">
        <v>1786978</v>
      </c>
      <c r="G35" t="s">
        <v>40</v>
      </c>
      <c r="H35" t="s">
        <v>41</v>
      </c>
      <c r="I35" t="s">
        <v>26</v>
      </c>
      <c r="J35" t="s">
        <v>54</v>
      </c>
      <c r="K35" t="s">
        <v>28</v>
      </c>
      <c r="L35" t="s">
        <v>28</v>
      </c>
    </row>
    <row r="36" spans="1:14">
      <c r="A36" s="1" t="s">
        <v>55</v>
      </c>
      <c r="B36" t="s">
        <v>56</v>
      </c>
      <c r="C36" t="s">
        <v>22</v>
      </c>
      <c r="D36" t="s">
        <v>36</v>
      </c>
      <c r="F36">
        <v>1786978</v>
      </c>
      <c r="G36" t="s">
        <v>40</v>
      </c>
      <c r="H36" t="s">
        <v>41</v>
      </c>
      <c r="I36" t="s">
        <v>26</v>
      </c>
      <c r="J36" t="s">
        <v>57</v>
      </c>
      <c r="K36" t="s">
        <v>28</v>
      </c>
      <c r="L36" t="s">
        <v>28</v>
      </c>
    </row>
    <row r="37" spans="1:14" s="2" customFormat="1">
      <c r="A37" t="s">
        <v>58</v>
      </c>
      <c r="B37" t="s">
        <v>59</v>
      </c>
      <c r="C37" t="s">
        <v>22</v>
      </c>
      <c r="D37" t="s">
        <v>36</v>
      </c>
      <c r="E37"/>
      <c r="F37">
        <v>1786978</v>
      </c>
      <c r="G37" t="s">
        <v>40</v>
      </c>
      <c r="H37" t="s">
        <v>41</v>
      </c>
      <c r="I37" t="s">
        <v>26</v>
      </c>
      <c r="J37" t="s">
        <v>60</v>
      </c>
      <c r="K37" t="s">
        <v>28</v>
      </c>
      <c r="L37" t="s">
        <v>28</v>
      </c>
      <c r="M37"/>
      <c r="N37"/>
    </row>
    <row r="38" spans="1:14" s="2" customFormat="1">
      <c r="A38" s="1" t="s">
        <v>82</v>
      </c>
      <c r="B38" t="s">
        <v>83</v>
      </c>
      <c r="C38" t="s">
        <v>22</v>
      </c>
      <c r="D38" t="s">
        <v>36</v>
      </c>
      <c r="E38"/>
      <c r="F38">
        <v>1786978</v>
      </c>
      <c r="G38" t="s">
        <v>40</v>
      </c>
      <c r="H38" t="s">
        <v>41</v>
      </c>
      <c r="I38" t="s">
        <v>26</v>
      </c>
      <c r="J38" t="s">
        <v>84</v>
      </c>
      <c r="K38" t="s">
        <v>28</v>
      </c>
      <c r="L38"/>
      <c r="M38" t="s">
        <v>28</v>
      </c>
      <c r="N38"/>
    </row>
    <row r="39" spans="1:14" s="2" customFormat="1">
      <c r="A39" t="s">
        <v>85</v>
      </c>
      <c r="B39" t="s">
        <v>86</v>
      </c>
      <c r="C39" t="s">
        <v>87</v>
      </c>
      <c r="D39" t="s">
        <v>36</v>
      </c>
      <c r="E39" t="s">
        <v>88</v>
      </c>
      <c r="F39">
        <v>1786978</v>
      </c>
      <c r="G39" t="s">
        <v>40</v>
      </c>
      <c r="H39" t="s">
        <v>41</v>
      </c>
      <c r="I39" t="s">
        <v>26</v>
      </c>
      <c r="J39" t="s">
        <v>89</v>
      </c>
      <c r="K39" t="s">
        <v>28</v>
      </c>
      <c r="L39"/>
      <c r="M39" t="s">
        <v>28</v>
      </c>
      <c r="N39"/>
    </row>
    <row r="40" spans="1:14" s="2" customFormat="1">
      <c r="A40" t="s">
        <v>119</v>
      </c>
      <c r="B40" t="s">
        <v>120</v>
      </c>
      <c r="C40" t="s">
        <v>67</v>
      </c>
      <c r="D40" t="s">
        <v>36</v>
      </c>
      <c r="E40" t="s">
        <v>121</v>
      </c>
      <c r="F40">
        <v>1786978</v>
      </c>
      <c r="G40" t="s">
        <v>40</v>
      </c>
      <c r="H40" t="s">
        <v>41</v>
      </c>
      <c r="I40" t="s">
        <v>26</v>
      </c>
      <c r="J40" t="s">
        <v>122</v>
      </c>
      <c r="K40" t="s">
        <v>28</v>
      </c>
      <c r="L40"/>
      <c r="M40"/>
      <c r="N40"/>
    </row>
    <row r="41" spans="1:14" s="2" customFormat="1">
      <c r="A41" t="s">
        <v>123</v>
      </c>
      <c r="B41" t="s">
        <v>124</v>
      </c>
      <c r="C41" t="s">
        <v>67</v>
      </c>
      <c r="D41" t="s">
        <v>36</v>
      </c>
      <c r="E41" t="s">
        <v>121</v>
      </c>
      <c r="F41">
        <v>1786978</v>
      </c>
      <c r="G41" t="s">
        <v>40</v>
      </c>
      <c r="H41" t="s">
        <v>41</v>
      </c>
      <c r="I41" t="s">
        <v>26</v>
      </c>
      <c r="J41" t="s">
        <v>125</v>
      </c>
      <c r="K41" t="s">
        <v>28</v>
      </c>
      <c r="L41"/>
      <c r="M41"/>
      <c r="N41"/>
    </row>
    <row r="42" spans="1:14">
      <c r="A42" t="s">
        <v>126</v>
      </c>
      <c r="B42" t="s">
        <v>127</v>
      </c>
      <c r="C42" t="s">
        <v>22</v>
      </c>
      <c r="D42" t="s">
        <v>128</v>
      </c>
      <c r="E42" s="2" t="s">
        <v>129</v>
      </c>
      <c r="F42">
        <v>1786978</v>
      </c>
      <c r="G42" t="s">
        <v>40</v>
      </c>
      <c r="H42" t="s">
        <v>41</v>
      </c>
      <c r="I42" t="s">
        <v>26</v>
      </c>
      <c r="J42" t="s">
        <v>130</v>
      </c>
      <c r="K42" t="s">
        <v>28</v>
      </c>
      <c r="L42" t="s">
        <v>28</v>
      </c>
    </row>
    <row r="43" spans="1:14">
      <c r="A43" s="1" t="s">
        <v>134</v>
      </c>
      <c r="B43" t="s">
        <v>135</v>
      </c>
      <c r="C43" t="s">
        <v>87</v>
      </c>
      <c r="D43" t="s">
        <v>128</v>
      </c>
      <c r="E43" s="2" t="s">
        <v>129</v>
      </c>
      <c r="F43">
        <v>1786978</v>
      </c>
      <c r="G43" t="s">
        <v>40</v>
      </c>
      <c r="H43" t="s">
        <v>41</v>
      </c>
      <c r="I43" t="s">
        <v>26</v>
      </c>
      <c r="J43" t="s">
        <v>136</v>
      </c>
      <c r="K43" t="s">
        <v>28</v>
      </c>
      <c r="L43" t="s">
        <v>28</v>
      </c>
      <c r="M43" t="s">
        <v>28</v>
      </c>
    </row>
    <row r="44" spans="1:14">
      <c r="A44" s="1" t="s">
        <v>137</v>
      </c>
      <c r="B44" t="s">
        <v>138</v>
      </c>
      <c r="C44" t="s">
        <v>87</v>
      </c>
      <c r="D44" t="s">
        <v>128</v>
      </c>
      <c r="E44" s="2" t="s">
        <v>129</v>
      </c>
      <c r="F44">
        <v>1786978</v>
      </c>
      <c r="G44" t="s">
        <v>40</v>
      </c>
      <c r="H44" t="s">
        <v>41</v>
      </c>
      <c r="I44" t="s">
        <v>26</v>
      </c>
    </row>
    <row r="45" spans="1:14">
      <c r="A45" t="s">
        <v>131</v>
      </c>
      <c r="B45" t="s">
        <v>132</v>
      </c>
      <c r="C45" t="s">
        <v>87</v>
      </c>
      <c r="D45" t="s">
        <v>128</v>
      </c>
      <c r="E45" s="2" t="s">
        <v>129</v>
      </c>
      <c r="F45">
        <v>1786978</v>
      </c>
      <c r="G45" t="s">
        <v>40</v>
      </c>
      <c r="H45" t="s">
        <v>41</v>
      </c>
      <c r="I45" t="s">
        <v>26</v>
      </c>
      <c r="J45" t="s">
        <v>133</v>
      </c>
      <c r="K45" t="s">
        <v>28</v>
      </c>
      <c r="M45" t="s">
        <v>28</v>
      </c>
    </row>
    <row r="46" spans="1:14">
      <c r="A46" s="1" t="s">
        <v>139</v>
      </c>
      <c r="B46" t="s">
        <v>140</v>
      </c>
      <c r="C46" t="s">
        <v>87</v>
      </c>
      <c r="D46" t="s">
        <v>63</v>
      </c>
      <c r="E46" t="s">
        <v>141</v>
      </c>
      <c r="F46">
        <v>1786978</v>
      </c>
      <c r="G46" t="s">
        <v>40</v>
      </c>
      <c r="H46" t="s">
        <v>41</v>
      </c>
      <c r="I46" t="s">
        <v>26</v>
      </c>
      <c r="J46" t="s">
        <v>142</v>
      </c>
      <c r="K46" t="s">
        <v>28</v>
      </c>
      <c r="L46" t="s">
        <v>28</v>
      </c>
      <c r="M46" t="s">
        <v>28</v>
      </c>
    </row>
    <row r="47" spans="1:14">
      <c r="A47" t="s">
        <v>143</v>
      </c>
      <c r="B47" t="s">
        <v>144</v>
      </c>
      <c r="C47" t="s">
        <v>87</v>
      </c>
      <c r="D47" t="s">
        <v>63</v>
      </c>
      <c r="E47" t="s">
        <v>141</v>
      </c>
      <c r="F47">
        <v>1786978</v>
      </c>
      <c r="G47" t="s">
        <v>40</v>
      </c>
      <c r="H47" t="s">
        <v>41</v>
      </c>
      <c r="I47" t="s">
        <v>26</v>
      </c>
      <c r="J47" t="s">
        <v>145</v>
      </c>
      <c r="K47" t="s">
        <v>146</v>
      </c>
    </row>
    <row r="48" spans="1:14">
      <c r="A48" s="1" t="s">
        <v>147</v>
      </c>
      <c r="B48" t="s">
        <v>148</v>
      </c>
      <c r="C48" t="s">
        <v>87</v>
      </c>
      <c r="D48" t="s">
        <v>63</v>
      </c>
      <c r="E48" t="s">
        <v>141</v>
      </c>
      <c r="F48">
        <v>1786978</v>
      </c>
      <c r="G48" t="s">
        <v>40</v>
      </c>
      <c r="H48" t="s">
        <v>41</v>
      </c>
      <c r="I48" t="s">
        <v>26</v>
      </c>
      <c r="J48" t="s">
        <v>149</v>
      </c>
      <c r="K48" t="s">
        <v>28</v>
      </c>
      <c r="L48" t="s">
        <v>28</v>
      </c>
      <c r="M48" t="s">
        <v>28</v>
      </c>
    </row>
    <row r="49" spans="1:14">
      <c r="A49" t="s">
        <v>150</v>
      </c>
      <c r="B49" t="s">
        <v>151</v>
      </c>
      <c r="C49" t="s">
        <v>87</v>
      </c>
      <c r="D49" t="s">
        <v>63</v>
      </c>
      <c r="E49" t="s">
        <v>141</v>
      </c>
      <c r="F49">
        <v>1786978</v>
      </c>
      <c r="G49" t="s">
        <v>40</v>
      </c>
      <c r="H49" t="s">
        <v>41</v>
      </c>
      <c r="I49" t="s">
        <v>26</v>
      </c>
      <c r="J49" t="s">
        <v>152</v>
      </c>
      <c r="K49" t="s">
        <v>146</v>
      </c>
    </row>
    <row r="50" spans="1:14">
      <c r="A50" t="s">
        <v>280</v>
      </c>
      <c r="B50" t="s">
        <v>281</v>
      </c>
      <c r="C50" s="2" t="s">
        <v>22</v>
      </c>
      <c r="D50" t="s">
        <v>36</v>
      </c>
      <c r="F50" s="2">
        <v>1786987</v>
      </c>
      <c r="G50" t="s">
        <v>255</v>
      </c>
      <c r="H50" t="s">
        <v>256</v>
      </c>
      <c r="I50" t="s">
        <v>26</v>
      </c>
      <c r="J50" t="s">
        <v>282</v>
      </c>
      <c r="K50" t="s">
        <v>146</v>
      </c>
    </row>
    <row r="51" spans="1:14">
      <c r="A51" t="s">
        <v>261</v>
      </c>
      <c r="B51" t="s">
        <v>262</v>
      </c>
      <c r="C51" t="s">
        <v>87</v>
      </c>
      <c r="D51" t="s">
        <v>36</v>
      </c>
      <c r="E51" t="s">
        <v>228</v>
      </c>
      <c r="F51" s="2">
        <v>1786987</v>
      </c>
      <c r="G51" t="s">
        <v>255</v>
      </c>
      <c r="H51" t="s">
        <v>256</v>
      </c>
      <c r="I51" t="s">
        <v>201</v>
      </c>
      <c r="K51" t="s">
        <v>28</v>
      </c>
      <c r="L51" t="s">
        <v>28</v>
      </c>
    </row>
    <row r="52" spans="1:14">
      <c r="A52" t="s">
        <v>253</v>
      </c>
      <c r="B52" t="s">
        <v>254</v>
      </c>
      <c r="C52" t="s">
        <v>87</v>
      </c>
      <c r="D52" t="s">
        <v>36</v>
      </c>
      <c r="E52" t="s">
        <v>228</v>
      </c>
      <c r="F52" s="2">
        <v>1786987</v>
      </c>
      <c r="G52" t="s">
        <v>255</v>
      </c>
      <c r="H52" t="s">
        <v>256</v>
      </c>
      <c r="I52" t="s">
        <v>201</v>
      </c>
      <c r="J52" t="s">
        <v>257</v>
      </c>
      <c r="K52" t="s">
        <v>28</v>
      </c>
      <c r="L52" t="s">
        <v>28</v>
      </c>
    </row>
    <row r="53" spans="1:14">
      <c r="A53" t="s">
        <v>258</v>
      </c>
      <c r="B53" t="s">
        <v>259</v>
      </c>
      <c r="C53" t="s">
        <v>87</v>
      </c>
      <c r="D53" t="s">
        <v>36</v>
      </c>
      <c r="E53" t="s">
        <v>228</v>
      </c>
      <c r="F53" s="2">
        <v>1786987</v>
      </c>
      <c r="G53" t="s">
        <v>255</v>
      </c>
      <c r="H53" t="s">
        <v>256</v>
      </c>
      <c r="I53" t="s">
        <v>201</v>
      </c>
      <c r="J53" t="s">
        <v>260</v>
      </c>
      <c r="K53" t="s">
        <v>28</v>
      </c>
      <c r="L53" t="s">
        <v>28</v>
      </c>
    </row>
    <row r="54" spans="1:14">
      <c r="A54" s="1" t="s">
        <v>277</v>
      </c>
      <c r="B54" t="s">
        <v>278</v>
      </c>
      <c r="C54" t="s">
        <v>22</v>
      </c>
      <c r="D54" t="s">
        <v>36</v>
      </c>
      <c r="F54" s="2">
        <v>1786987</v>
      </c>
      <c r="G54" t="s">
        <v>255</v>
      </c>
      <c r="H54" t="s">
        <v>256</v>
      </c>
      <c r="I54" t="s">
        <v>26</v>
      </c>
      <c r="J54" t="s">
        <v>279</v>
      </c>
      <c r="K54" t="s">
        <v>146</v>
      </c>
    </row>
    <row r="55" spans="1:14">
      <c r="A55" s="3" t="s">
        <v>287</v>
      </c>
      <c r="B55" s="2" t="s">
        <v>288</v>
      </c>
      <c r="C55" s="2" t="s">
        <v>22</v>
      </c>
      <c r="D55" s="2" t="s">
        <v>36</v>
      </c>
      <c r="E55" s="2"/>
      <c r="F55" s="2">
        <v>1786987</v>
      </c>
      <c r="G55" s="2" t="s">
        <v>285</v>
      </c>
      <c r="H55" s="2" t="s">
        <v>285</v>
      </c>
      <c r="I55" s="2" t="s">
        <v>26</v>
      </c>
      <c r="J55" s="2" t="s">
        <v>289</v>
      </c>
      <c r="K55" s="2" t="s">
        <v>28</v>
      </c>
      <c r="L55" s="2" t="s">
        <v>28</v>
      </c>
      <c r="M55" s="2"/>
      <c r="N55" s="2"/>
    </row>
    <row r="56" spans="1:14">
      <c r="A56" s="2" t="s">
        <v>290</v>
      </c>
      <c r="B56" s="2" t="s">
        <v>291</v>
      </c>
      <c r="C56" s="2" t="s">
        <v>22</v>
      </c>
      <c r="D56" s="2" t="s">
        <v>36</v>
      </c>
      <c r="E56" s="2"/>
      <c r="F56" s="2">
        <v>1786987</v>
      </c>
      <c r="G56" s="2" t="s">
        <v>285</v>
      </c>
      <c r="H56" s="2" t="s">
        <v>285</v>
      </c>
      <c r="I56" s="2" t="s">
        <v>26</v>
      </c>
      <c r="J56" s="2" t="s">
        <v>292</v>
      </c>
      <c r="K56" s="2" t="s">
        <v>28</v>
      </c>
      <c r="L56" s="2" t="s">
        <v>28</v>
      </c>
      <c r="M56" s="2"/>
      <c r="N56" s="2"/>
    </row>
    <row r="57" spans="1:14">
      <c r="A57" t="s">
        <v>283</v>
      </c>
      <c r="B57" t="s">
        <v>284</v>
      </c>
      <c r="C57" t="s">
        <v>87</v>
      </c>
      <c r="D57" t="s">
        <v>36</v>
      </c>
      <c r="E57" s="9" t="s">
        <v>97</v>
      </c>
      <c r="F57" s="2">
        <v>1786987</v>
      </c>
      <c r="G57" t="s">
        <v>285</v>
      </c>
      <c r="H57" t="s">
        <v>285</v>
      </c>
      <c r="I57" t="s">
        <v>26</v>
      </c>
      <c r="J57" t="s">
        <v>286</v>
      </c>
      <c r="K57" t="s">
        <v>28</v>
      </c>
    </row>
    <row r="58" spans="1:14" ht="17.25">
      <c r="A58" s="1" t="s">
        <v>30</v>
      </c>
      <c r="B58" t="s">
        <v>31</v>
      </c>
      <c r="C58" t="s">
        <v>22</v>
      </c>
      <c r="D58" t="s">
        <v>32</v>
      </c>
      <c r="F58" s="10">
        <v>1786972</v>
      </c>
      <c r="G58" t="s">
        <v>24</v>
      </c>
      <c r="H58" t="s">
        <v>25</v>
      </c>
      <c r="I58" t="s">
        <v>26</v>
      </c>
      <c r="J58" t="s">
        <v>33</v>
      </c>
      <c r="K58" t="s">
        <v>28</v>
      </c>
      <c r="L58" t="s">
        <v>28</v>
      </c>
    </row>
    <row r="59" spans="1:14">
      <c r="A59" t="s">
        <v>108</v>
      </c>
      <c r="B59" t="s">
        <v>109</v>
      </c>
      <c r="C59" t="s">
        <v>22</v>
      </c>
      <c r="D59" t="s">
        <v>110</v>
      </c>
      <c r="F59">
        <v>1786980</v>
      </c>
      <c r="G59" t="s">
        <v>24</v>
      </c>
      <c r="H59" t="s">
        <v>25</v>
      </c>
      <c r="I59" t="s">
        <v>26</v>
      </c>
      <c r="J59" t="s">
        <v>111</v>
      </c>
      <c r="K59" t="s">
        <v>28</v>
      </c>
      <c r="L59" t="s">
        <v>28</v>
      </c>
    </row>
    <row r="60" spans="1:14">
      <c r="A60" s="1" t="s">
        <v>112</v>
      </c>
      <c r="B60" t="s">
        <v>113</v>
      </c>
      <c r="C60" t="s">
        <v>67</v>
      </c>
      <c r="D60" t="s">
        <v>114</v>
      </c>
      <c r="E60" t="s">
        <v>115</v>
      </c>
      <c r="F60">
        <v>1786980</v>
      </c>
      <c r="G60" t="s">
        <v>24</v>
      </c>
      <c r="H60" t="s">
        <v>25</v>
      </c>
      <c r="I60" t="s">
        <v>26</v>
      </c>
      <c r="J60" t="s">
        <v>116</v>
      </c>
      <c r="K60" t="s">
        <v>28</v>
      </c>
      <c r="L60" t="s">
        <v>28</v>
      </c>
    </row>
    <row r="61" spans="1:14">
      <c r="A61" t="s">
        <v>105</v>
      </c>
      <c r="B61" t="s">
        <v>106</v>
      </c>
      <c r="C61" t="s">
        <v>67</v>
      </c>
      <c r="D61" t="s">
        <v>36</v>
      </c>
      <c r="F61">
        <v>1786980</v>
      </c>
      <c r="G61" t="s">
        <v>24</v>
      </c>
      <c r="H61" t="s">
        <v>25</v>
      </c>
      <c r="I61" t="s">
        <v>26</v>
      </c>
      <c r="J61" t="s">
        <v>107</v>
      </c>
      <c r="K61" t="s">
        <v>28</v>
      </c>
      <c r="M61" t="s">
        <v>28</v>
      </c>
    </row>
    <row r="62" spans="1:14">
      <c r="A62" t="s">
        <v>99</v>
      </c>
      <c r="B62" t="s">
        <v>100</v>
      </c>
      <c r="C62" t="s">
        <v>67</v>
      </c>
      <c r="D62" t="s">
        <v>36</v>
      </c>
      <c r="E62" s="9" t="s">
        <v>97</v>
      </c>
      <c r="F62">
        <v>1786980</v>
      </c>
      <c r="G62" t="s">
        <v>24</v>
      </c>
      <c r="H62" t="s">
        <v>25</v>
      </c>
      <c r="I62" t="s">
        <v>26</v>
      </c>
      <c r="J62" t="s">
        <v>101</v>
      </c>
      <c r="K62" t="s">
        <v>28</v>
      </c>
    </row>
    <row r="63" spans="1:14">
      <c r="A63" t="s">
        <v>95</v>
      </c>
      <c r="B63" t="s">
        <v>96</v>
      </c>
      <c r="C63" t="s">
        <v>67</v>
      </c>
      <c r="D63" t="s">
        <v>36</v>
      </c>
      <c r="E63" s="9" t="s">
        <v>97</v>
      </c>
      <c r="F63">
        <v>1786980</v>
      </c>
      <c r="G63" t="s">
        <v>24</v>
      </c>
      <c r="H63" t="s">
        <v>25</v>
      </c>
      <c r="I63" t="s">
        <v>26</v>
      </c>
      <c r="J63" t="s">
        <v>98</v>
      </c>
      <c r="K63" t="s">
        <v>28</v>
      </c>
    </row>
    <row r="64" spans="1:14">
      <c r="A64" s="1" t="s">
        <v>76</v>
      </c>
      <c r="B64" t="s">
        <v>77</v>
      </c>
      <c r="C64" t="s">
        <v>22</v>
      </c>
      <c r="D64" t="s">
        <v>36</v>
      </c>
      <c r="F64">
        <v>1786980</v>
      </c>
      <c r="G64" t="s">
        <v>24</v>
      </c>
      <c r="H64" t="s">
        <v>25</v>
      </c>
      <c r="I64" t="s">
        <v>26</v>
      </c>
      <c r="J64" t="s">
        <v>78</v>
      </c>
      <c r="K64" t="s">
        <v>28</v>
      </c>
      <c r="N64" t="s">
        <v>28</v>
      </c>
    </row>
    <row r="65" spans="1:14">
      <c r="A65" t="s">
        <v>79</v>
      </c>
      <c r="B65" t="s">
        <v>80</v>
      </c>
      <c r="C65" t="s">
        <v>22</v>
      </c>
      <c r="D65" t="s">
        <v>36</v>
      </c>
      <c r="F65">
        <v>1786980</v>
      </c>
      <c r="G65" t="s">
        <v>24</v>
      </c>
      <c r="H65" t="s">
        <v>25</v>
      </c>
      <c r="I65" t="s">
        <v>26</v>
      </c>
      <c r="J65" t="s">
        <v>81</v>
      </c>
      <c r="L65" t="s">
        <v>28</v>
      </c>
    </row>
    <row r="66" spans="1:14">
      <c r="A66" t="s">
        <v>65</v>
      </c>
      <c r="B66" t="s">
        <v>66</v>
      </c>
      <c r="C66" t="s">
        <v>67</v>
      </c>
      <c r="D66" t="s">
        <v>68</v>
      </c>
      <c r="E66" t="s">
        <v>69</v>
      </c>
      <c r="F66">
        <v>1786980</v>
      </c>
      <c r="G66" t="s">
        <v>24</v>
      </c>
      <c r="H66" t="s">
        <v>25</v>
      </c>
      <c r="I66" t="s">
        <v>26</v>
      </c>
      <c r="J66" t="s">
        <v>70</v>
      </c>
      <c r="K66" t="s">
        <v>28</v>
      </c>
      <c r="N66" t="s">
        <v>28</v>
      </c>
    </row>
    <row r="67" spans="1:14">
      <c r="A67" s="2" t="s">
        <v>71</v>
      </c>
      <c r="B67" s="2" t="s">
        <v>72</v>
      </c>
      <c r="C67" s="2" t="s">
        <v>22</v>
      </c>
      <c r="D67" s="2" t="s">
        <v>73</v>
      </c>
      <c r="E67" s="2" t="s">
        <v>74</v>
      </c>
      <c r="F67">
        <v>1786980</v>
      </c>
      <c r="G67" s="2" t="s">
        <v>24</v>
      </c>
      <c r="H67" s="2" t="s">
        <v>25</v>
      </c>
      <c r="I67" s="2" t="s">
        <v>26</v>
      </c>
      <c r="J67" s="2" t="s">
        <v>75</v>
      </c>
      <c r="K67" s="2" t="s">
        <v>28</v>
      </c>
      <c r="L67" s="2" t="s">
        <v>28</v>
      </c>
      <c r="M67" s="2"/>
      <c r="N67" s="2" t="s">
        <v>28</v>
      </c>
    </row>
    <row r="68" spans="1:14" ht="17.25">
      <c r="A68" s="2" t="s">
        <v>34</v>
      </c>
      <c r="B68" s="2" t="s">
        <v>35</v>
      </c>
      <c r="C68" s="2" t="s">
        <v>22</v>
      </c>
      <c r="D68" s="2" t="s">
        <v>36</v>
      </c>
      <c r="E68" s="2"/>
      <c r="F68" s="10">
        <v>1786972</v>
      </c>
      <c r="G68" s="2" t="s">
        <v>24</v>
      </c>
      <c r="H68" s="2" t="s">
        <v>25</v>
      </c>
      <c r="I68" s="2" t="s">
        <v>26</v>
      </c>
      <c r="J68" s="2" t="s">
        <v>37</v>
      </c>
      <c r="K68" s="2" t="s">
        <v>28</v>
      </c>
      <c r="L68" s="2" t="s">
        <v>28</v>
      </c>
      <c r="M68" s="2"/>
      <c r="N68" s="2"/>
    </row>
    <row r="69" spans="1:14" ht="17.25">
      <c r="A69" s="2" t="s">
        <v>20</v>
      </c>
      <c r="B69" s="2" t="s">
        <v>21</v>
      </c>
      <c r="C69" s="2" t="s">
        <v>22</v>
      </c>
      <c r="D69" s="2" t="s">
        <v>23</v>
      </c>
      <c r="E69" s="2"/>
      <c r="F69" s="10">
        <v>1786972</v>
      </c>
      <c r="G69" s="2" t="s">
        <v>24</v>
      </c>
      <c r="H69" s="2" t="s">
        <v>25</v>
      </c>
      <c r="I69" s="2" t="s">
        <v>26</v>
      </c>
      <c r="J69" s="2" t="s">
        <v>27</v>
      </c>
      <c r="K69" s="2" t="s">
        <v>28</v>
      </c>
      <c r="L69" s="2" t="s">
        <v>28</v>
      </c>
      <c r="M69" s="2"/>
      <c r="N69" s="2"/>
    </row>
    <row r="70" spans="1:14" ht="17.25">
      <c r="A70" s="2" t="s">
        <v>90</v>
      </c>
      <c r="B70" s="2" t="s">
        <v>91</v>
      </c>
      <c r="C70" s="2" t="s">
        <v>67</v>
      </c>
      <c r="D70" s="2" t="s">
        <v>92</v>
      </c>
      <c r="E70" s="2" t="s">
        <v>93</v>
      </c>
      <c r="F70" s="10">
        <v>1786972</v>
      </c>
      <c r="G70" s="2" t="s">
        <v>24</v>
      </c>
      <c r="H70" s="2" t="s">
        <v>25</v>
      </c>
      <c r="I70" s="2" t="s">
        <v>26</v>
      </c>
      <c r="J70" s="2" t="s">
        <v>94</v>
      </c>
      <c r="K70" s="2" t="s">
        <v>28</v>
      </c>
      <c r="L70" s="2" t="s">
        <v>28</v>
      </c>
      <c r="M70" s="2" t="s">
        <v>28</v>
      </c>
      <c r="N70" s="2"/>
    </row>
    <row r="71" spans="1:14">
      <c r="A71" t="s">
        <v>102</v>
      </c>
      <c r="B71" t="s">
        <v>103</v>
      </c>
      <c r="C71" t="s">
        <v>67</v>
      </c>
      <c r="D71" t="s">
        <v>36</v>
      </c>
      <c r="E71" s="9" t="s">
        <v>97</v>
      </c>
      <c r="F71">
        <v>1786980</v>
      </c>
      <c r="G71" t="s">
        <v>24</v>
      </c>
      <c r="H71" t="s">
        <v>25</v>
      </c>
      <c r="I71" t="s">
        <v>26</v>
      </c>
      <c r="J71" t="s">
        <v>104</v>
      </c>
      <c r="K71" t="s">
        <v>28</v>
      </c>
    </row>
    <row r="72" spans="1:14">
      <c r="A72" t="s">
        <v>61</v>
      </c>
      <c r="B72" t="s">
        <v>62</v>
      </c>
      <c r="C72" t="s">
        <v>22</v>
      </c>
      <c r="D72" t="s">
        <v>63</v>
      </c>
      <c r="F72">
        <v>1786980</v>
      </c>
      <c r="G72" t="s">
        <v>24</v>
      </c>
      <c r="H72" t="s">
        <v>25</v>
      </c>
      <c r="I72" t="s">
        <v>26</v>
      </c>
      <c r="J72" t="s">
        <v>64</v>
      </c>
      <c r="K72" t="s">
        <v>28</v>
      </c>
      <c r="M72" t="s">
        <v>28</v>
      </c>
    </row>
    <row r="73" spans="1:14">
      <c r="A73" t="s">
        <v>237</v>
      </c>
      <c r="B73" t="s">
        <v>238</v>
      </c>
      <c r="C73" t="s">
        <v>87</v>
      </c>
      <c r="D73" t="s">
        <v>36</v>
      </c>
      <c r="E73" t="s">
        <v>228</v>
      </c>
      <c r="F73">
        <v>1789563</v>
      </c>
      <c r="G73" t="s">
        <v>239</v>
      </c>
      <c r="H73" t="s">
        <v>239</v>
      </c>
      <c r="I73" t="s">
        <v>26</v>
      </c>
      <c r="J73" t="s">
        <v>240</v>
      </c>
      <c r="K73" t="s">
        <v>28</v>
      </c>
    </row>
    <row r="74" spans="1:14"/>
    <row r="75" spans="1:14">
      <c r="A75" t="s">
        <v>247</v>
      </c>
      <c r="B75" t="s">
        <v>248</v>
      </c>
      <c r="C75" t="s">
        <v>87</v>
      </c>
      <c r="D75" t="s">
        <v>36</v>
      </c>
      <c r="E75" t="s">
        <v>228</v>
      </c>
      <c r="F75">
        <v>1789563</v>
      </c>
      <c r="G75" t="s">
        <v>239</v>
      </c>
      <c r="H75" t="s">
        <v>239</v>
      </c>
      <c r="I75" t="s">
        <v>26</v>
      </c>
      <c r="J75" t="s">
        <v>249</v>
      </c>
      <c r="K75" t="s">
        <v>28</v>
      </c>
      <c r="M75" t="s">
        <v>28</v>
      </c>
    </row>
    <row r="76" spans="1:14">
      <c r="A76" t="s">
        <v>241</v>
      </c>
      <c r="B76" t="s">
        <v>242</v>
      </c>
      <c r="C76" t="s">
        <v>87</v>
      </c>
      <c r="D76" t="s">
        <v>36</v>
      </c>
      <c r="E76" t="s">
        <v>228</v>
      </c>
      <c r="F76">
        <v>1789563</v>
      </c>
      <c r="G76" t="s">
        <v>239</v>
      </c>
      <c r="H76" t="s">
        <v>239</v>
      </c>
      <c r="I76" t="s">
        <v>26</v>
      </c>
      <c r="J76" t="s">
        <v>243</v>
      </c>
      <c r="K76" t="s">
        <v>28</v>
      </c>
    </row>
    <row r="77" spans="1:14">
      <c r="A77" t="s">
        <v>250</v>
      </c>
      <c r="B77" t="s">
        <v>251</v>
      </c>
      <c r="C77" t="s">
        <v>87</v>
      </c>
      <c r="D77" t="s">
        <v>36</v>
      </c>
      <c r="E77" t="s">
        <v>228</v>
      </c>
      <c r="F77">
        <v>1789563</v>
      </c>
      <c r="G77" t="s">
        <v>239</v>
      </c>
      <c r="H77" t="s">
        <v>239</v>
      </c>
      <c r="I77" t="s">
        <v>26</v>
      </c>
      <c r="J77" t="s">
        <v>252</v>
      </c>
      <c r="K77" t="s">
        <v>28</v>
      </c>
    </row>
    <row r="78" spans="1:14">
      <c r="A78" t="s">
        <v>244</v>
      </c>
      <c r="B78" t="s">
        <v>245</v>
      </c>
      <c r="C78" t="s">
        <v>87</v>
      </c>
      <c r="D78" t="s">
        <v>36</v>
      </c>
      <c r="F78">
        <v>1789563</v>
      </c>
      <c r="G78" t="s">
        <v>239</v>
      </c>
      <c r="H78" t="s">
        <v>239</v>
      </c>
      <c r="I78" t="s">
        <v>26</v>
      </c>
      <c r="J78" t="s">
        <v>246</v>
      </c>
      <c r="K78" t="s">
        <v>28</v>
      </c>
      <c r="M78" t="s">
        <v>28</v>
      </c>
    </row>
    <row r="79" spans="1:14">
      <c r="A79" s="1" t="s">
        <v>176</v>
      </c>
      <c r="B79" t="s">
        <v>177</v>
      </c>
      <c r="C79" t="s">
        <v>22</v>
      </c>
      <c r="D79" t="s">
        <v>36</v>
      </c>
      <c r="F79">
        <v>1786981</v>
      </c>
      <c r="G79" t="s">
        <v>178</v>
      </c>
      <c r="H79" t="s">
        <v>179</v>
      </c>
      <c r="I79" t="s">
        <v>26</v>
      </c>
      <c r="J79" t="s">
        <v>180</v>
      </c>
      <c r="K79" t="s">
        <v>28</v>
      </c>
      <c r="L79" t="s">
        <v>28</v>
      </c>
    </row>
    <row r="80" spans="1:14" ht="15" customHeight="1">
      <c r="A80" s="1" t="s">
        <v>181</v>
      </c>
      <c r="B80" t="s">
        <v>182</v>
      </c>
      <c r="C80" t="s">
        <v>22</v>
      </c>
      <c r="D80" t="s">
        <v>36</v>
      </c>
      <c r="F80">
        <v>1786981</v>
      </c>
      <c r="G80" t="s">
        <v>178</v>
      </c>
      <c r="H80" t="s">
        <v>179</v>
      </c>
      <c r="I80" t="s">
        <v>26</v>
      </c>
      <c r="J80" t="s">
        <v>183</v>
      </c>
      <c r="K80" t="s">
        <v>28</v>
      </c>
      <c r="N80" t="s">
        <v>28</v>
      </c>
    </row>
    <row r="81" spans="1:12" ht="15" customHeight="1">
      <c r="A81" s="1" t="s">
        <v>184</v>
      </c>
      <c r="B81" t="s">
        <v>185</v>
      </c>
      <c r="C81" t="s">
        <v>22</v>
      </c>
      <c r="D81" t="s">
        <v>36</v>
      </c>
      <c r="F81">
        <v>1786981</v>
      </c>
      <c r="G81" t="s">
        <v>178</v>
      </c>
      <c r="H81" t="s">
        <v>179</v>
      </c>
      <c r="I81" t="s">
        <v>26</v>
      </c>
      <c r="J81" t="s">
        <v>186</v>
      </c>
      <c r="L81" t="s">
        <v>28</v>
      </c>
    </row>
  </sheetData>
  <autoFilter ref="A1:N81" xr:uid="{22338801-842D-4ECE-92DD-EF95191D6BED}">
    <sortState xmlns:xlrd2="http://schemas.microsoft.com/office/spreadsheetml/2017/richdata2" ref="A2:N81">
      <sortCondition ref="G1:G81"/>
    </sortState>
  </autoFilter>
  <dataValidations count="1">
    <dataValidation allowBlank="1" showInputMessage="1" showErrorMessage="1" sqref="F45:F57 F30 D1:D1048576 E1:E36 F1:F25 E41:E61 E64:E72 F59:F67 F71:F72 E81:E1048576 E75:E79 F79:F1048576" xr:uid="{C0B4E81D-4E20-4A99-A85F-7833C0E37D0A}"/>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C8A6F97-2417-4CE8-9335-06817BC017DA}">
          <x14:formula1>
            <xm:f>Lookups!$C$2:$C$4</xm:f>
          </x14:formula1>
          <xm:sqref>C1:C1048576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38801-842D-4ECE-92DD-EF95191D6BED}">
  <dimension ref="A1:M79"/>
  <sheetViews>
    <sheetView workbookViewId="0">
      <selection activeCell="C24" sqref="C24"/>
    </sheetView>
  </sheetViews>
  <sheetFormatPr defaultRowHeight="15" customHeight="1"/>
  <cols>
    <col min="2" max="2" width="38.7109375" bestFit="1" customWidth="1"/>
    <col min="3" max="6" width="38.7109375" customWidth="1"/>
    <col min="10" max="10" width="16.7109375" bestFit="1" customWidth="1"/>
    <col min="11" max="11" width="58.5703125" bestFit="1" customWidth="1"/>
    <col min="12" max="12" width="11" customWidth="1"/>
  </cols>
  <sheetData>
    <row r="1" spans="1:13">
      <c r="A1" t="s">
        <v>3</v>
      </c>
      <c r="B1" t="s">
        <v>4</v>
      </c>
      <c r="C1" t="s">
        <v>8</v>
      </c>
      <c r="D1" t="s">
        <v>9</v>
      </c>
      <c r="E1" t="s">
        <v>10</v>
      </c>
      <c r="F1" t="s">
        <v>11</v>
      </c>
      <c r="G1" t="s">
        <v>12</v>
      </c>
      <c r="H1" t="s">
        <v>13</v>
      </c>
      <c r="I1" t="s">
        <v>14</v>
      </c>
      <c r="J1" t="s">
        <v>15</v>
      </c>
      <c r="K1" t="s">
        <v>294</v>
      </c>
      <c r="M1" t="s">
        <v>295</v>
      </c>
    </row>
    <row r="2" spans="1:13" s="2" customFormat="1">
      <c r="A2" s="3" t="s">
        <v>161</v>
      </c>
      <c r="B2" s="2" t="s">
        <v>162</v>
      </c>
      <c r="C2" s="2" t="s">
        <v>155</v>
      </c>
      <c r="D2" s="2" t="s">
        <v>156</v>
      </c>
      <c r="E2" s="2" t="s">
        <v>26</v>
      </c>
      <c r="F2" s="2" t="s">
        <v>163</v>
      </c>
      <c r="G2" s="2" t="s">
        <v>28</v>
      </c>
      <c r="H2" s="2" t="s">
        <v>28</v>
      </c>
      <c r="K2" s="2" t="str">
        <f>VLOOKUP(A2,Sheet1!A:G, 4, FALSE)</f>
        <v>~75% feature parity achieved</v>
      </c>
    </row>
    <row r="3" spans="1:13" s="2" customFormat="1">
      <c r="A3" s="3" t="s">
        <v>164</v>
      </c>
      <c r="B3" s="2" t="s">
        <v>165</v>
      </c>
      <c r="C3" s="2" t="s">
        <v>155</v>
      </c>
      <c r="D3" s="2" t="s">
        <v>156</v>
      </c>
      <c r="E3" s="2" t="s">
        <v>26</v>
      </c>
      <c r="F3" s="2" t="s">
        <v>166</v>
      </c>
      <c r="G3" s="2" t="s">
        <v>28</v>
      </c>
      <c r="H3" s="2" t="s">
        <v>28</v>
      </c>
      <c r="K3" s="2" t="e">
        <f>VLOOKUP(A3,Sheet1!A:G, 4, FALSE)</f>
        <v>#N/A</v>
      </c>
    </row>
    <row r="4" spans="1:13" s="2" customFormat="1">
      <c r="A4" s="3" t="s">
        <v>167</v>
      </c>
      <c r="B4" s="2" t="s">
        <v>168</v>
      </c>
      <c r="C4" s="2" t="s">
        <v>155</v>
      </c>
      <c r="D4" s="2" t="s">
        <v>156</v>
      </c>
      <c r="E4" s="2" t="s">
        <v>26</v>
      </c>
      <c r="F4" s="2" t="s">
        <v>169</v>
      </c>
      <c r="G4" s="2" t="s">
        <v>28</v>
      </c>
      <c r="H4" s="2" t="s">
        <v>28</v>
      </c>
      <c r="K4" s="2" t="str">
        <f>VLOOKUP(A4,Sheet1!A:G, 4, FALSE)</f>
        <v>~85% feature parity achieved (updated 2026-01-14)</v>
      </c>
    </row>
    <row r="5" spans="1:13">
      <c r="A5" s="3" t="s">
        <v>158</v>
      </c>
      <c r="B5" s="2" t="s">
        <v>159</v>
      </c>
      <c r="C5" s="2" t="s">
        <v>155</v>
      </c>
      <c r="D5" s="2" t="s">
        <v>156</v>
      </c>
      <c r="E5" s="2" t="s">
        <v>26</v>
      </c>
      <c r="F5" s="2"/>
      <c r="G5" s="2"/>
      <c r="H5" s="2"/>
      <c r="I5" s="2"/>
      <c r="J5" s="2"/>
      <c r="K5" s="2"/>
      <c r="L5" s="2"/>
      <c r="M5" s="2"/>
    </row>
    <row r="6" spans="1:13">
      <c r="A6" s="1" t="s">
        <v>170</v>
      </c>
      <c r="B6" t="s">
        <v>171</v>
      </c>
      <c r="C6" t="s">
        <v>155</v>
      </c>
      <c r="D6" t="s">
        <v>156</v>
      </c>
      <c r="E6" t="s">
        <v>26</v>
      </c>
      <c r="F6" t="s">
        <v>172</v>
      </c>
      <c r="G6" t="s">
        <v>28</v>
      </c>
      <c r="H6" t="s">
        <v>28</v>
      </c>
      <c r="K6" s="2" t="str">
        <f>VLOOKUP(A6,Sheet1!A:G, 4, FALSE)</f>
        <v>~75% feature parity achieved</v>
      </c>
      <c r="L6" s="2"/>
    </row>
    <row r="7" spans="1:13">
      <c r="A7" t="s">
        <v>173</v>
      </c>
      <c r="B7" t="s">
        <v>174</v>
      </c>
      <c r="C7" t="s">
        <v>155</v>
      </c>
      <c r="D7" t="s">
        <v>156</v>
      </c>
      <c r="E7" t="s">
        <v>26</v>
      </c>
      <c r="F7" t="s">
        <v>175</v>
      </c>
      <c r="G7" t="s">
        <v>28</v>
      </c>
      <c r="H7" t="s">
        <v>28</v>
      </c>
      <c r="K7" s="2" t="e">
        <f>VLOOKUP(A7,Sheet1!A:G, 4, FALSE)</f>
        <v>#N/A</v>
      </c>
      <c r="L7" s="2"/>
    </row>
    <row r="8" spans="1:13">
      <c r="A8" s="2" t="s">
        <v>263</v>
      </c>
      <c r="B8" s="2" t="s">
        <v>264</v>
      </c>
      <c r="C8" s="2" t="s">
        <v>265</v>
      </c>
      <c r="D8" s="2" t="s">
        <v>266</v>
      </c>
      <c r="E8" s="2" t="s">
        <v>26</v>
      </c>
      <c r="F8" s="2" t="s">
        <v>267</v>
      </c>
      <c r="G8" s="2" t="s">
        <v>28</v>
      </c>
      <c r="H8" s="2" t="s">
        <v>28</v>
      </c>
      <c r="I8" s="2"/>
      <c r="J8" s="2"/>
      <c r="K8" s="2" t="e">
        <f>VLOOKUP(A8,Sheet1!A:G, 4, FALSE)</f>
        <v>#N/A</v>
      </c>
      <c r="L8" s="2"/>
      <c r="M8" s="2"/>
    </row>
    <row r="9" spans="1:13">
      <c r="A9" s="2" t="s">
        <v>268</v>
      </c>
      <c r="B9" s="2" t="s">
        <v>269</v>
      </c>
      <c r="C9" s="2" t="s">
        <v>265</v>
      </c>
      <c r="D9" s="2" t="s">
        <v>266</v>
      </c>
      <c r="E9" s="2" t="s">
        <v>26</v>
      </c>
      <c r="F9" s="2" t="s">
        <v>270</v>
      </c>
      <c r="G9" s="2" t="s">
        <v>28</v>
      </c>
      <c r="H9" s="2" t="s">
        <v>28</v>
      </c>
      <c r="I9" s="2"/>
      <c r="J9" s="2"/>
      <c r="K9" s="2" t="e">
        <f>VLOOKUP(A9,Sheet1!A:G, 4, FALSE)</f>
        <v>#N/A</v>
      </c>
      <c r="L9" s="2"/>
      <c r="M9" s="2"/>
    </row>
    <row r="10" spans="1:13">
      <c r="B10" s="1" t="s">
        <v>217</v>
      </c>
      <c r="C10" t="s">
        <v>205</v>
      </c>
      <c r="D10" t="s">
        <v>206</v>
      </c>
      <c r="E10" t="s">
        <v>201</v>
      </c>
      <c r="K10" s="2"/>
      <c r="L10" s="2"/>
    </row>
    <row r="11" spans="1:13">
      <c r="B11" s="5" t="s">
        <v>218</v>
      </c>
      <c r="C11" t="s">
        <v>205</v>
      </c>
      <c r="D11" t="s">
        <v>206</v>
      </c>
      <c r="E11" t="s">
        <v>201</v>
      </c>
      <c r="J11" t="s">
        <v>219</v>
      </c>
      <c r="K11" s="2" t="e">
        <f>VLOOKUP(B11,Sheet1!A:G, 4, FALSE)</f>
        <v>#N/A</v>
      </c>
      <c r="L11" s="2"/>
    </row>
    <row r="12" spans="1:13">
      <c r="B12" s="5" t="s">
        <v>235</v>
      </c>
      <c r="C12" t="s">
        <v>205</v>
      </c>
      <c r="D12" t="s">
        <v>206</v>
      </c>
      <c r="E12" t="s">
        <v>201</v>
      </c>
      <c r="J12" t="s">
        <v>219</v>
      </c>
      <c r="K12" s="2" t="e">
        <f>VLOOKUP(B12,Sheet1!A:G, 4, FALSE)</f>
        <v>#N/A</v>
      </c>
      <c r="L12" s="2"/>
    </row>
    <row r="13" spans="1:13">
      <c r="B13" s="5" t="s">
        <v>236</v>
      </c>
      <c r="C13" t="s">
        <v>205</v>
      </c>
      <c r="D13" t="s">
        <v>206</v>
      </c>
      <c r="E13" t="s">
        <v>201</v>
      </c>
      <c r="K13" s="2"/>
      <c r="L13" s="2"/>
    </row>
    <row r="14" spans="1:13">
      <c r="B14" t="s">
        <v>225</v>
      </c>
      <c r="C14" t="s">
        <v>205</v>
      </c>
      <c r="D14" t="s">
        <v>206</v>
      </c>
      <c r="E14" t="s">
        <v>201</v>
      </c>
      <c r="K14" s="2"/>
      <c r="L14" s="2"/>
    </row>
    <row r="15" spans="1:13">
      <c r="A15" t="s">
        <v>202</v>
      </c>
      <c r="B15" t="s">
        <v>296</v>
      </c>
      <c r="C15" t="s">
        <v>205</v>
      </c>
      <c r="D15" t="s">
        <v>206</v>
      </c>
      <c r="E15" t="s">
        <v>26</v>
      </c>
      <c r="G15" t="s">
        <v>28</v>
      </c>
      <c r="J15" t="s">
        <v>28</v>
      </c>
      <c r="K15" s="2" t="str">
        <f>VLOOKUP(A15,Sheet1!A:G, 4, FALSE)</f>
        <v>~55% feature parity achieved (basic query functionality complete)</v>
      </c>
      <c r="L15" s="2"/>
    </row>
    <row r="16" spans="1:13">
      <c r="A16" t="s">
        <v>207</v>
      </c>
      <c r="B16" t="s">
        <v>297</v>
      </c>
      <c r="C16" t="s">
        <v>205</v>
      </c>
      <c r="D16" t="s">
        <v>206</v>
      </c>
      <c r="E16" t="s">
        <v>26</v>
      </c>
      <c r="G16" t="s">
        <v>28</v>
      </c>
      <c r="J16" t="s">
        <v>28</v>
      </c>
      <c r="K16" s="2" t="str">
        <f>VLOOKUP(A16,Sheet1!A:G, 4, FALSE)</f>
        <v>~75% feature parity achieved</v>
      </c>
      <c r="L16" s="2"/>
    </row>
    <row r="17" spans="1:13">
      <c r="A17" t="s">
        <v>229</v>
      </c>
      <c r="B17" t="s">
        <v>298</v>
      </c>
      <c r="C17" t="s">
        <v>205</v>
      </c>
      <c r="D17" t="s">
        <v>206</v>
      </c>
      <c r="E17" t="s">
        <v>201</v>
      </c>
      <c r="F17" t="s">
        <v>232</v>
      </c>
      <c r="G17" t="s">
        <v>28</v>
      </c>
      <c r="H17" t="s">
        <v>28</v>
      </c>
      <c r="K17" s="2" t="str">
        <f>VLOOKUP(A17,Sheet1!A:G, 4, FALSE)</f>
        <v>~65% feature parity achieved</v>
      </c>
      <c r="L17" s="2"/>
    </row>
    <row r="18" spans="1:13">
      <c r="A18" s="1" t="s">
        <v>209</v>
      </c>
      <c r="B18" t="s">
        <v>210</v>
      </c>
      <c r="C18" t="s">
        <v>205</v>
      </c>
      <c r="D18" t="s">
        <v>206</v>
      </c>
      <c r="E18" t="s">
        <v>201</v>
      </c>
      <c r="F18" t="s">
        <v>211</v>
      </c>
      <c r="G18" t="s">
        <v>28</v>
      </c>
      <c r="H18" t="s">
        <v>28</v>
      </c>
      <c r="K18" s="2" t="str">
        <f>VLOOKUP(A18,Sheet1!A:G, 4, FALSE)</f>
        <v>~90% feature parity achieved</v>
      </c>
      <c r="L18" s="2"/>
    </row>
    <row r="19" spans="1:13">
      <c r="A19" t="s">
        <v>212</v>
      </c>
      <c r="B19" t="s">
        <v>213</v>
      </c>
      <c r="C19" t="s">
        <v>205</v>
      </c>
      <c r="D19" t="s">
        <v>206</v>
      </c>
      <c r="E19" t="s">
        <v>201</v>
      </c>
      <c r="F19" t="s">
        <v>215</v>
      </c>
      <c r="G19" t="s">
        <v>28</v>
      </c>
      <c r="K19" s="2" t="e">
        <f>VLOOKUP(A19,Sheet1!A:G, 4, FALSE)</f>
        <v>#N/A</v>
      </c>
      <c r="L19" s="2"/>
    </row>
    <row r="20" spans="1:13">
      <c r="A20" s="5" t="s">
        <v>299</v>
      </c>
      <c r="C20" t="s">
        <v>205</v>
      </c>
      <c r="D20" t="s">
        <v>206</v>
      </c>
      <c r="J20" t="s">
        <v>300</v>
      </c>
      <c r="K20" s="2" t="e">
        <f>VLOOKUP(A20,Sheet1!A:G, 4, FALSE)</f>
        <v>#N/A</v>
      </c>
      <c r="L20" s="2"/>
    </row>
    <row r="21" spans="1:13">
      <c r="A21" t="s">
        <v>220</v>
      </c>
      <c r="B21" t="s">
        <v>221</v>
      </c>
      <c r="C21" t="s">
        <v>205</v>
      </c>
      <c r="D21" t="s">
        <v>206</v>
      </c>
      <c r="E21" t="s">
        <v>26</v>
      </c>
      <c r="K21" s="2" t="e">
        <f>VLOOKUP(A21,Sheet1!A:G, 4, FALSE)</f>
        <v>#N/A</v>
      </c>
      <c r="L21" s="2"/>
    </row>
    <row r="22" spans="1:13">
      <c r="A22" t="s">
        <v>222</v>
      </c>
      <c r="B22" t="s">
        <v>223</v>
      </c>
      <c r="C22" t="s">
        <v>205</v>
      </c>
      <c r="D22" t="s">
        <v>206</v>
      </c>
      <c r="E22" t="s">
        <v>26</v>
      </c>
      <c r="F22" t="s">
        <v>224</v>
      </c>
      <c r="G22" t="s">
        <v>28</v>
      </c>
      <c r="J22" t="s">
        <v>28</v>
      </c>
      <c r="K22" s="2" t="str">
        <f>VLOOKUP(A22,Sheet1!A:G, 4, FALSE)</f>
        <v>~60% feature parity achieved (Query only)</v>
      </c>
      <c r="L22" s="2"/>
    </row>
    <row r="23" spans="1:13">
      <c r="A23" t="s">
        <v>222</v>
      </c>
      <c r="B23" t="s">
        <v>301</v>
      </c>
      <c r="C23" t="s">
        <v>205</v>
      </c>
      <c r="D23" t="s">
        <v>206</v>
      </c>
      <c r="E23" t="s">
        <v>26</v>
      </c>
      <c r="K23" s="2" t="str">
        <f>VLOOKUP(A23,Sheet1!A:G, 4, FALSE)</f>
        <v>~60% feature parity achieved (Query only)</v>
      </c>
      <c r="L23" s="2"/>
    </row>
    <row r="24" spans="1:13">
      <c r="A24" t="s">
        <v>226</v>
      </c>
      <c r="B24" t="s">
        <v>227</v>
      </c>
      <c r="C24" t="s">
        <v>205</v>
      </c>
      <c r="D24" t="s">
        <v>206</v>
      </c>
      <c r="E24" t="s">
        <v>201</v>
      </c>
      <c r="G24" t="s">
        <v>28</v>
      </c>
      <c r="H24" t="s">
        <v>28</v>
      </c>
      <c r="J24" t="s">
        <v>28</v>
      </c>
      <c r="K24" s="2" t="str">
        <f>VLOOKUP(A24,Sheet1!A:G, 4, FALSE)</f>
        <v>~75% feature parity achieved</v>
      </c>
      <c r="L24" s="2"/>
    </row>
    <row r="25" spans="1:13">
      <c r="A25" s="1" t="s">
        <v>272</v>
      </c>
      <c r="B25" t="s">
        <v>273</v>
      </c>
      <c r="C25" t="s">
        <v>274</v>
      </c>
      <c r="D25" t="s">
        <v>275</v>
      </c>
      <c r="E25" t="s">
        <v>26</v>
      </c>
      <c r="F25" t="s">
        <v>276</v>
      </c>
      <c r="G25" t="s">
        <v>28</v>
      </c>
      <c r="H25" t="s">
        <v>28</v>
      </c>
      <c r="K25" s="2" t="str">
        <f>VLOOKUP(A25,Sheet1!A:G, 4, FALSE)</f>
        <v>~75% feature parity achieved</v>
      </c>
      <c r="L25" s="2"/>
    </row>
    <row r="26" spans="1:13">
      <c r="A26" s="1" t="s">
        <v>38</v>
      </c>
      <c r="B26" t="s">
        <v>39</v>
      </c>
      <c r="C26" t="s">
        <v>40</v>
      </c>
      <c r="D26" t="s">
        <v>41</v>
      </c>
      <c r="E26" t="s">
        <v>26</v>
      </c>
      <c r="F26" t="s">
        <v>42</v>
      </c>
      <c r="G26" t="s">
        <v>28</v>
      </c>
      <c r="H26" t="s">
        <v>28</v>
      </c>
      <c r="K26" s="2" t="str">
        <f>VLOOKUP(A26,Sheet1!A:G, 4, FALSE)</f>
        <v>~85% feature parity achieved</v>
      </c>
      <c r="L26" s="2"/>
    </row>
    <row r="27" spans="1:13">
      <c r="A27" s="1" t="s">
        <v>43</v>
      </c>
      <c r="B27" t="s">
        <v>44</v>
      </c>
      <c r="C27" t="s">
        <v>40</v>
      </c>
      <c r="D27" t="s">
        <v>41</v>
      </c>
      <c r="E27" t="s">
        <v>26</v>
      </c>
      <c r="F27" t="s">
        <v>45</v>
      </c>
      <c r="G27" t="s">
        <v>28</v>
      </c>
      <c r="H27" t="s">
        <v>28</v>
      </c>
      <c r="K27" s="2" t="str">
        <f>VLOOKUP(A27,Sheet1!A:G, 4, FALSE)</f>
        <v>~85% feature parity achieved</v>
      </c>
      <c r="L27" s="2"/>
    </row>
    <row r="28" spans="1:13">
      <c r="A28" s="1" t="s">
        <v>46</v>
      </c>
      <c r="B28" t="s">
        <v>47</v>
      </c>
      <c r="C28" t="s">
        <v>40</v>
      </c>
      <c r="D28" t="s">
        <v>41</v>
      </c>
      <c r="E28" t="s">
        <v>26</v>
      </c>
      <c r="F28" t="s">
        <v>48</v>
      </c>
      <c r="G28" t="s">
        <v>28</v>
      </c>
      <c r="H28" t="s">
        <v>28</v>
      </c>
      <c r="K28" s="2" t="str">
        <f>VLOOKUP(A28,Sheet1!A:G, 4, FALSE)</f>
        <v>~85% feature parity achieved</v>
      </c>
      <c r="L28" s="2"/>
    </row>
    <row r="29" spans="1:13" s="2" customFormat="1">
      <c r="A29" s="1" t="s">
        <v>49</v>
      </c>
      <c r="B29" t="s">
        <v>50</v>
      </c>
      <c r="C29" t="s">
        <v>40</v>
      </c>
      <c r="D29" t="s">
        <v>41</v>
      </c>
      <c r="E29" t="s">
        <v>26</v>
      </c>
      <c r="F29" t="s">
        <v>51</v>
      </c>
      <c r="G29" t="s">
        <v>28</v>
      </c>
      <c r="H29" t="s">
        <v>28</v>
      </c>
      <c r="I29"/>
      <c r="J29"/>
      <c r="K29" s="2" t="str">
        <f>VLOOKUP(A29,Sheet1!A:G, 4, FALSE)</f>
        <v>~92% feature parity achieved</v>
      </c>
      <c r="M29"/>
    </row>
    <row r="30" spans="1:13" s="2" customFormat="1">
      <c r="A30" s="1" t="s">
        <v>52</v>
      </c>
      <c r="B30" t="s">
        <v>53</v>
      </c>
      <c r="C30" t="s">
        <v>40</v>
      </c>
      <c r="D30" t="s">
        <v>41</v>
      </c>
      <c r="E30" t="s">
        <v>26</v>
      </c>
      <c r="F30" t="s">
        <v>54</v>
      </c>
      <c r="G30" t="s">
        <v>28</v>
      </c>
      <c r="H30" t="s">
        <v>28</v>
      </c>
      <c r="I30"/>
      <c r="J30"/>
      <c r="K30" s="2" t="e">
        <f>VLOOKUP(A30,Sheet1!A:G, 4, FALSE)</f>
        <v>#N/A</v>
      </c>
      <c r="M30"/>
    </row>
    <row r="31" spans="1:13">
      <c r="A31" s="1" t="s">
        <v>55</v>
      </c>
      <c r="B31" t="s">
        <v>56</v>
      </c>
      <c r="C31" t="s">
        <v>40</v>
      </c>
      <c r="D31" t="s">
        <v>41</v>
      </c>
      <c r="E31" t="s">
        <v>26</v>
      </c>
      <c r="F31" t="s">
        <v>57</v>
      </c>
      <c r="G31" t="s">
        <v>28</v>
      </c>
      <c r="H31" t="s">
        <v>28</v>
      </c>
      <c r="K31" s="2" t="str">
        <f>VLOOKUP(A31,Sheet1!A:G, 4, FALSE)</f>
        <v>~78% feature parity achieved</v>
      </c>
      <c r="L31" s="2"/>
    </row>
    <row r="32" spans="1:13">
      <c r="A32" t="s">
        <v>58</v>
      </c>
      <c r="B32" t="s">
        <v>59</v>
      </c>
      <c r="C32" t="s">
        <v>40</v>
      </c>
      <c r="D32" t="s">
        <v>41</v>
      </c>
      <c r="E32" t="s">
        <v>26</v>
      </c>
      <c r="F32" t="s">
        <v>60</v>
      </c>
      <c r="G32" t="s">
        <v>28</v>
      </c>
      <c r="H32" t="s">
        <v>28</v>
      </c>
      <c r="K32" s="2" t="e">
        <f>VLOOKUP(A32,Sheet1!A:G, 4, FALSE)</f>
        <v>#N/A</v>
      </c>
      <c r="L32" s="2"/>
    </row>
    <row r="33" spans="1:13">
      <c r="A33" s="1" t="s">
        <v>82</v>
      </c>
      <c r="B33" t="s">
        <v>83</v>
      </c>
      <c r="C33" t="s">
        <v>40</v>
      </c>
      <c r="D33" t="s">
        <v>41</v>
      </c>
      <c r="E33" t="s">
        <v>26</v>
      </c>
      <c r="F33" t="s">
        <v>84</v>
      </c>
      <c r="G33" t="s">
        <v>28</v>
      </c>
      <c r="I33" t="s">
        <v>28</v>
      </c>
      <c r="K33" s="2" t="str">
        <f>VLOOKUP(A33,Sheet1!A:G, 4, FALSE)</f>
        <v>~65% feature parity achieved</v>
      </c>
      <c r="L33" s="2"/>
    </row>
    <row r="34" spans="1:13">
      <c r="A34" t="s">
        <v>85</v>
      </c>
      <c r="B34" t="s">
        <v>86</v>
      </c>
      <c r="C34" t="s">
        <v>40</v>
      </c>
      <c r="D34" t="s">
        <v>41</v>
      </c>
      <c r="E34" t="s">
        <v>26</v>
      </c>
      <c r="F34" t="s">
        <v>89</v>
      </c>
      <c r="G34" t="s">
        <v>28</v>
      </c>
      <c r="I34" t="s">
        <v>28</v>
      </c>
      <c r="K34" s="2" t="e">
        <f>VLOOKUP(A34,Sheet1!A:G, 4, FALSE)</f>
        <v>#N/A</v>
      </c>
      <c r="L34" s="2"/>
    </row>
    <row r="35" spans="1:13" s="2" customFormat="1">
      <c r="A35" t="s">
        <v>119</v>
      </c>
      <c r="B35" t="s">
        <v>120</v>
      </c>
      <c r="C35" t="s">
        <v>40</v>
      </c>
      <c r="D35" t="s">
        <v>41</v>
      </c>
      <c r="E35" t="s">
        <v>26</v>
      </c>
      <c r="F35" t="s">
        <v>122</v>
      </c>
      <c r="G35" t="s">
        <v>28</v>
      </c>
      <c r="H35"/>
      <c r="I35"/>
      <c r="J35"/>
      <c r="K35" s="2" t="str">
        <f>VLOOKUP(A35,Sheet1!A:G, 4, FALSE)</f>
        <v>~75% feature parity achieved</v>
      </c>
      <c r="M35"/>
    </row>
    <row r="36" spans="1:13" s="2" customFormat="1">
      <c r="A36" t="s">
        <v>123</v>
      </c>
      <c r="B36" t="s">
        <v>124</v>
      </c>
      <c r="C36" t="s">
        <v>40</v>
      </c>
      <c r="D36" t="s">
        <v>41</v>
      </c>
      <c r="E36" t="s">
        <v>26</v>
      </c>
      <c r="F36" t="s">
        <v>125</v>
      </c>
      <c r="G36" t="s">
        <v>28</v>
      </c>
      <c r="H36"/>
      <c r="I36"/>
      <c r="J36"/>
      <c r="K36" s="2" t="str">
        <f>VLOOKUP(A36,Sheet1!A:G, 4, FALSE)</f>
        <v>~75% feature parity achieved</v>
      </c>
      <c r="M36"/>
    </row>
    <row r="37" spans="1:13" s="2" customFormat="1">
      <c r="A37" s="1" t="s">
        <v>126</v>
      </c>
      <c r="B37" t="s">
        <v>127</v>
      </c>
      <c r="C37" t="s">
        <v>40</v>
      </c>
      <c r="D37" t="s">
        <v>41</v>
      </c>
      <c r="E37" t="s">
        <v>26</v>
      </c>
      <c r="F37" t="s">
        <v>130</v>
      </c>
      <c r="G37" t="s">
        <v>28</v>
      </c>
      <c r="H37" t="s">
        <v>28</v>
      </c>
      <c r="I37"/>
      <c r="J37"/>
      <c r="K37" s="2" t="str">
        <f>VLOOKUP(A37,Sheet1!A:G, 4, FALSE)</f>
        <v>~55% feature parity achieved</v>
      </c>
      <c r="M37"/>
    </row>
    <row r="38" spans="1:13" s="2" customFormat="1">
      <c r="A38" t="s">
        <v>126</v>
      </c>
      <c r="B38" t="s">
        <v>127</v>
      </c>
      <c r="C38" t="s">
        <v>40</v>
      </c>
      <c r="D38" t="s">
        <v>41</v>
      </c>
      <c r="E38" t="s">
        <v>26</v>
      </c>
      <c r="F38" t="s">
        <v>130</v>
      </c>
      <c r="G38" t="s">
        <v>28</v>
      </c>
      <c r="H38" t="s">
        <v>28</v>
      </c>
      <c r="I38"/>
      <c r="J38"/>
      <c r="K38" s="2" t="str">
        <f>VLOOKUP(A38,Sheet1!A:G, 4, FALSE)</f>
        <v>~55% feature parity achieved</v>
      </c>
      <c r="M38"/>
    </row>
    <row r="39" spans="1:13" s="2" customFormat="1">
      <c r="A39" s="1" t="s">
        <v>134</v>
      </c>
      <c r="B39" t="s">
        <v>135</v>
      </c>
      <c r="C39" t="s">
        <v>40</v>
      </c>
      <c r="D39" t="s">
        <v>41</v>
      </c>
      <c r="E39" t="s">
        <v>26</v>
      </c>
      <c r="F39" t="s">
        <v>136</v>
      </c>
      <c r="G39" t="s">
        <v>28</v>
      </c>
      <c r="H39" t="s">
        <v>28</v>
      </c>
      <c r="I39" t="s">
        <v>28</v>
      </c>
      <c r="J39"/>
      <c r="K39" s="2" t="str">
        <f>VLOOKUP(A39,Sheet1!A:G, 4, FALSE)</f>
        <v>~65% feature parity achieved</v>
      </c>
      <c r="M39"/>
    </row>
    <row r="40" spans="1:13" s="2" customFormat="1">
      <c r="A40" s="1" t="s">
        <v>134</v>
      </c>
      <c r="B40" t="s">
        <v>135</v>
      </c>
      <c r="C40" t="s">
        <v>40</v>
      </c>
      <c r="D40" t="s">
        <v>41</v>
      </c>
      <c r="E40" t="s">
        <v>26</v>
      </c>
      <c r="F40" t="s">
        <v>136</v>
      </c>
      <c r="G40"/>
      <c r="H40" t="s">
        <v>28</v>
      </c>
      <c r="I40"/>
      <c r="J40"/>
      <c r="K40" s="2" t="str">
        <f>VLOOKUP(A40,Sheet1!A:G, 4, FALSE)</f>
        <v>~65% feature parity achieved</v>
      </c>
      <c r="M40"/>
    </row>
    <row r="41" spans="1:13">
      <c r="A41" t="s">
        <v>131</v>
      </c>
      <c r="B41" t="s">
        <v>132</v>
      </c>
      <c r="C41" t="s">
        <v>40</v>
      </c>
      <c r="D41" t="s">
        <v>41</v>
      </c>
      <c r="E41" t="s">
        <v>26</v>
      </c>
      <c r="F41" t="s">
        <v>133</v>
      </c>
      <c r="G41" t="s">
        <v>28</v>
      </c>
      <c r="I41" t="s">
        <v>28</v>
      </c>
      <c r="K41" s="2" t="e">
        <f>VLOOKUP(A41,Sheet1!A:G, 4, FALSE)</f>
        <v>#N/A</v>
      </c>
      <c r="L41" s="2"/>
    </row>
    <row r="42" spans="1:13">
      <c r="A42" s="1" t="s">
        <v>139</v>
      </c>
      <c r="B42" t="s">
        <v>140</v>
      </c>
      <c r="C42" t="s">
        <v>40</v>
      </c>
      <c r="D42" t="s">
        <v>41</v>
      </c>
      <c r="E42" t="s">
        <v>26</v>
      </c>
      <c r="F42" t="s">
        <v>142</v>
      </c>
      <c r="G42" t="s">
        <v>28</v>
      </c>
      <c r="H42" t="s">
        <v>28</v>
      </c>
      <c r="I42" t="s">
        <v>28</v>
      </c>
      <c r="K42" s="2" t="e">
        <f>VLOOKUP(A42,Sheet1!A:G, 4, FALSE)</f>
        <v>#N/A</v>
      </c>
      <c r="L42" s="2"/>
    </row>
    <row r="43" spans="1:13">
      <c r="A43" s="1" t="s">
        <v>139</v>
      </c>
      <c r="B43" t="s">
        <v>140</v>
      </c>
      <c r="C43" t="s">
        <v>40</v>
      </c>
      <c r="D43" t="s">
        <v>41</v>
      </c>
      <c r="E43" t="s">
        <v>26</v>
      </c>
      <c r="F43" t="s">
        <v>142</v>
      </c>
      <c r="G43" t="s">
        <v>146</v>
      </c>
      <c r="K43" s="2" t="e">
        <f>VLOOKUP(A43,Sheet1!A:G, 4, FALSE)</f>
        <v>#N/A</v>
      </c>
      <c r="L43" s="2"/>
    </row>
    <row r="44" spans="1:13">
      <c r="A44" t="s">
        <v>143</v>
      </c>
      <c r="B44" t="s">
        <v>144</v>
      </c>
      <c r="C44" t="s">
        <v>40</v>
      </c>
      <c r="D44" t="s">
        <v>41</v>
      </c>
      <c r="E44" t="s">
        <v>26</v>
      </c>
      <c r="F44" t="s">
        <v>145</v>
      </c>
      <c r="G44" t="s">
        <v>146</v>
      </c>
      <c r="K44" s="2" t="str">
        <f>VLOOKUP(A44,Sheet1!A:G, 4, FALSE)</f>
        <v>~92% feature parity achieved</v>
      </c>
      <c r="L44" s="2"/>
    </row>
    <row r="45" spans="1:13">
      <c r="A45" s="1" t="s">
        <v>147</v>
      </c>
      <c r="B45" t="s">
        <v>148</v>
      </c>
      <c r="C45" t="s">
        <v>40</v>
      </c>
      <c r="D45" t="s">
        <v>41</v>
      </c>
      <c r="E45" t="s">
        <v>26</v>
      </c>
      <c r="F45" t="s">
        <v>149</v>
      </c>
      <c r="G45" t="s">
        <v>28</v>
      </c>
      <c r="H45" t="s">
        <v>28</v>
      </c>
      <c r="I45" t="s">
        <v>28</v>
      </c>
      <c r="K45" s="2" t="str">
        <f>VLOOKUP(A45,Sheet1!A:G, 4, FALSE)</f>
        <v>~85% feature parity achieved</v>
      </c>
      <c r="L45" s="2"/>
    </row>
    <row r="46" spans="1:13">
      <c r="A46" s="1" t="s">
        <v>147</v>
      </c>
      <c r="B46" t="s">
        <v>148</v>
      </c>
      <c r="C46" t="s">
        <v>40</v>
      </c>
      <c r="D46" t="s">
        <v>41</v>
      </c>
      <c r="E46" t="s">
        <v>26</v>
      </c>
      <c r="F46" t="s">
        <v>149</v>
      </c>
      <c r="G46" t="s">
        <v>146</v>
      </c>
      <c r="K46" s="2" t="str">
        <f>VLOOKUP(A46,Sheet1!A:G, 4, FALSE)</f>
        <v>~85% feature parity achieved</v>
      </c>
      <c r="L46" s="2"/>
    </row>
    <row r="47" spans="1:13">
      <c r="A47" t="s">
        <v>150</v>
      </c>
      <c r="B47" t="s">
        <v>151</v>
      </c>
      <c r="C47" t="s">
        <v>40</v>
      </c>
      <c r="D47" t="s">
        <v>41</v>
      </c>
      <c r="E47" t="s">
        <v>26</v>
      </c>
      <c r="F47" t="s">
        <v>152</v>
      </c>
      <c r="G47" t="s">
        <v>146</v>
      </c>
      <c r="K47" s="2" t="e">
        <f>VLOOKUP(A47,Sheet1!A:G, 4, FALSE)</f>
        <v>#N/A</v>
      </c>
      <c r="L47" s="2"/>
    </row>
    <row r="48" spans="1:13">
      <c r="A48" s="4" t="s">
        <v>199</v>
      </c>
      <c r="B48" t="s">
        <v>200</v>
      </c>
      <c r="C48" t="s">
        <v>255</v>
      </c>
      <c r="D48" t="s">
        <v>256</v>
      </c>
      <c r="E48" t="s">
        <v>201</v>
      </c>
      <c r="G48" t="s">
        <v>28</v>
      </c>
      <c r="H48" t="s">
        <v>28</v>
      </c>
      <c r="K48" s="2" t="str">
        <f>VLOOKUP(A48,Sheet1!A:G, 4, FALSE)</f>
        <v>~40% feature parity achieved</v>
      </c>
      <c r="L48" s="2"/>
    </row>
    <row r="49" spans="1:13">
      <c r="A49" t="s">
        <v>280</v>
      </c>
      <c r="B49" t="s">
        <v>281</v>
      </c>
      <c r="C49" t="s">
        <v>255</v>
      </c>
      <c r="D49" t="s">
        <v>256</v>
      </c>
      <c r="E49" t="s">
        <v>26</v>
      </c>
      <c r="F49" t="s">
        <v>282</v>
      </c>
      <c r="G49" t="s">
        <v>146</v>
      </c>
      <c r="K49" s="2" t="str">
        <f>VLOOKUP(A49,Sheet1!A:G, 4, FALSE)</f>
        <v>~65% feature parity achieved</v>
      </c>
      <c r="L49" s="2"/>
    </row>
    <row r="50" spans="1:13">
      <c r="A50" t="s">
        <v>261</v>
      </c>
      <c r="B50" t="s">
        <v>262</v>
      </c>
      <c r="C50" t="s">
        <v>255</v>
      </c>
      <c r="D50" t="s">
        <v>256</v>
      </c>
      <c r="E50" t="s">
        <v>201</v>
      </c>
      <c r="G50" t="s">
        <v>28</v>
      </c>
      <c r="H50" t="s">
        <v>28</v>
      </c>
      <c r="K50" s="2" t="str">
        <f>VLOOKUP(A50,Sheet1!A:G, 4, FALSE)</f>
        <v>~35% feature parity achieved</v>
      </c>
      <c r="L50" s="2"/>
    </row>
    <row r="51" spans="1:13">
      <c r="A51" t="s">
        <v>253</v>
      </c>
      <c r="B51" t="s">
        <v>254</v>
      </c>
      <c r="C51" t="s">
        <v>255</v>
      </c>
      <c r="D51" t="s">
        <v>256</v>
      </c>
      <c r="E51" t="s">
        <v>201</v>
      </c>
      <c r="F51" t="s">
        <v>257</v>
      </c>
      <c r="G51" t="s">
        <v>28</v>
      </c>
      <c r="H51" t="s">
        <v>28</v>
      </c>
      <c r="K51" s="2" t="str">
        <f>VLOOKUP(A51,Sheet1!A:G, 4, FALSE)</f>
        <v>~70% feature parity achieved (updated 2026-01-14)</v>
      </c>
      <c r="L51" s="2"/>
    </row>
    <row r="52" spans="1:13">
      <c r="A52" t="s">
        <v>258</v>
      </c>
      <c r="B52" t="s">
        <v>259</v>
      </c>
      <c r="C52" t="s">
        <v>255</v>
      </c>
      <c r="D52" t="s">
        <v>256</v>
      </c>
      <c r="E52" t="s">
        <v>201</v>
      </c>
      <c r="F52" t="s">
        <v>260</v>
      </c>
      <c r="G52" t="s">
        <v>28</v>
      </c>
      <c r="H52" t="s">
        <v>28</v>
      </c>
      <c r="K52" s="2" t="str">
        <f>VLOOKUP(A52,Sheet1!A:G, 4, FALSE)</f>
        <v>~35% feature parity achieved</v>
      </c>
      <c r="L52" s="2"/>
    </row>
    <row r="53" spans="1:13">
      <c r="A53" s="1" t="s">
        <v>277</v>
      </c>
      <c r="B53" t="s">
        <v>278</v>
      </c>
      <c r="C53" t="s">
        <v>255</v>
      </c>
      <c r="D53" t="s">
        <v>256</v>
      </c>
      <c r="E53" t="s">
        <v>26</v>
      </c>
      <c r="F53" t="s">
        <v>279</v>
      </c>
      <c r="G53" t="s">
        <v>146</v>
      </c>
      <c r="K53" s="2" t="str">
        <f>VLOOKUP(A53,Sheet1!A:G, 4, FALSE)</f>
        <v>~15% feature parity achieved (UI prototype only)</v>
      </c>
      <c r="L53" s="2"/>
    </row>
    <row r="54" spans="1:13">
      <c r="A54" s="3" t="s">
        <v>287</v>
      </c>
      <c r="B54" s="2" t="s">
        <v>288</v>
      </c>
      <c r="C54" s="2" t="s">
        <v>285</v>
      </c>
      <c r="D54" s="2" t="s">
        <v>285</v>
      </c>
      <c r="E54" s="2" t="s">
        <v>26</v>
      </c>
      <c r="F54" s="2" t="s">
        <v>289</v>
      </c>
      <c r="G54" s="2" t="s">
        <v>28</v>
      </c>
      <c r="H54" s="2" t="s">
        <v>28</v>
      </c>
      <c r="I54" s="2"/>
      <c r="J54" s="2"/>
      <c r="K54" s="2" t="str">
        <f>VLOOKUP(A54,Sheet1!A:G, 4, FALSE)</f>
        <v>~85% feature parity achieved</v>
      </c>
      <c r="L54" s="2"/>
      <c r="M54" s="2"/>
    </row>
    <row r="55" spans="1:13">
      <c r="A55" s="2" t="s">
        <v>290</v>
      </c>
      <c r="B55" s="2" t="s">
        <v>291</v>
      </c>
      <c r="C55" s="2" t="s">
        <v>285</v>
      </c>
      <c r="D55" s="2" t="s">
        <v>285</v>
      </c>
      <c r="E55" s="2" t="s">
        <v>26</v>
      </c>
      <c r="F55" s="2" t="s">
        <v>292</v>
      </c>
      <c r="G55" s="2" t="s">
        <v>28</v>
      </c>
      <c r="H55" s="2" t="s">
        <v>28</v>
      </c>
      <c r="I55" s="2"/>
      <c r="J55" s="2"/>
      <c r="K55" s="2" t="str">
        <f>VLOOKUP(A55,Sheet1!A:G, 4, FALSE)</f>
        <v>~92% feature parity achieved</v>
      </c>
      <c r="L55" s="2"/>
      <c r="M55" s="2"/>
    </row>
    <row r="56" spans="1:13">
      <c r="A56" t="s">
        <v>283</v>
      </c>
      <c r="B56" t="s">
        <v>284</v>
      </c>
      <c r="C56" t="s">
        <v>285</v>
      </c>
      <c r="D56" t="s">
        <v>285</v>
      </c>
      <c r="E56" t="s">
        <v>26</v>
      </c>
      <c r="F56" t="s">
        <v>286</v>
      </c>
      <c r="G56" t="s">
        <v>28</v>
      </c>
      <c r="K56" s="2" t="str">
        <f>VLOOKUP(A56,Sheet1!A:G, 4, FALSE)</f>
        <v>~75% feature parity achieved</v>
      </c>
      <c r="L56" s="2"/>
    </row>
    <row r="57" spans="1:13">
      <c r="A57" s="1" t="s">
        <v>30</v>
      </c>
      <c r="B57" t="s">
        <v>31</v>
      </c>
      <c r="C57" t="s">
        <v>24</v>
      </c>
      <c r="D57" t="s">
        <v>25</v>
      </c>
      <c r="E57" t="s">
        <v>26</v>
      </c>
      <c r="F57" t="s">
        <v>33</v>
      </c>
      <c r="G57" t="s">
        <v>28</v>
      </c>
      <c r="H57" t="s">
        <v>28</v>
      </c>
      <c r="K57" s="2" t="str">
        <f>VLOOKUP(A57,Sheet1!A:G, 4, FALSE)</f>
        <v>~65% feature parity achieved</v>
      </c>
      <c r="L57" s="2"/>
    </row>
    <row r="58" spans="1:13">
      <c r="A58" t="s">
        <v>108</v>
      </c>
      <c r="B58" t="s">
        <v>109</v>
      </c>
      <c r="C58" t="s">
        <v>24</v>
      </c>
      <c r="D58" t="s">
        <v>25</v>
      </c>
      <c r="E58" t="s">
        <v>26</v>
      </c>
      <c r="F58" t="s">
        <v>111</v>
      </c>
      <c r="G58" t="s">
        <v>28</v>
      </c>
      <c r="H58" t="s">
        <v>28</v>
      </c>
      <c r="K58" s="2" t="e">
        <f>VLOOKUP(A58,Sheet1!A:G, 4, FALSE)</f>
        <v>#N/A</v>
      </c>
      <c r="L58" s="2"/>
    </row>
    <row r="59" spans="1:13">
      <c r="A59" s="1" t="s">
        <v>112</v>
      </c>
      <c r="B59" t="s">
        <v>113</v>
      </c>
      <c r="C59" t="s">
        <v>24</v>
      </c>
      <c r="D59" t="s">
        <v>25</v>
      </c>
      <c r="E59" t="s">
        <v>26</v>
      </c>
      <c r="F59" t="s">
        <v>116</v>
      </c>
      <c r="G59" t="s">
        <v>28</v>
      </c>
      <c r="H59" t="s">
        <v>28</v>
      </c>
      <c r="K59" s="2" t="e">
        <f>VLOOKUP(A59,Sheet1!A:G, 4, FALSE)</f>
        <v>#N/A</v>
      </c>
      <c r="L59" s="2"/>
    </row>
    <row r="60" spans="1:13">
      <c r="A60" t="s">
        <v>105</v>
      </c>
      <c r="B60" t="s">
        <v>106</v>
      </c>
      <c r="C60" t="s">
        <v>24</v>
      </c>
      <c r="D60" t="s">
        <v>25</v>
      </c>
      <c r="E60" t="s">
        <v>26</v>
      </c>
      <c r="F60" t="s">
        <v>107</v>
      </c>
      <c r="G60" t="s">
        <v>28</v>
      </c>
      <c r="I60" t="s">
        <v>28</v>
      </c>
      <c r="K60" s="2" t="str">
        <f>VLOOKUP(A60,Sheet1!A:G, 4, FALSE)</f>
        <v>~55% feature parity achieved</v>
      </c>
      <c r="L60" s="2"/>
    </row>
    <row r="61" spans="1:13">
      <c r="A61" t="s">
        <v>99</v>
      </c>
      <c r="B61" t="s">
        <v>100</v>
      </c>
      <c r="C61" t="s">
        <v>24</v>
      </c>
      <c r="D61" t="s">
        <v>25</v>
      </c>
      <c r="E61" t="s">
        <v>26</v>
      </c>
      <c r="F61" t="s">
        <v>101</v>
      </c>
      <c r="G61" t="s">
        <v>28</v>
      </c>
      <c r="K61" s="2" t="e">
        <f>VLOOKUP(A61,Sheet1!A:G, 4, FALSE)</f>
        <v>#N/A</v>
      </c>
      <c r="L61" s="2"/>
    </row>
    <row r="62" spans="1:13">
      <c r="A62" t="s">
        <v>95</v>
      </c>
      <c r="B62" t="s">
        <v>96</v>
      </c>
      <c r="C62" t="s">
        <v>24</v>
      </c>
      <c r="D62" t="s">
        <v>25</v>
      </c>
      <c r="E62" t="s">
        <v>26</v>
      </c>
      <c r="F62" t="s">
        <v>98</v>
      </c>
      <c r="G62" t="s">
        <v>28</v>
      </c>
      <c r="K62" s="2" t="e">
        <f>VLOOKUP(A62,Sheet1!A:G, 4, FALSE)</f>
        <v>#N/A</v>
      </c>
      <c r="L62" s="2"/>
    </row>
    <row r="63" spans="1:13">
      <c r="A63" s="1" t="s">
        <v>76</v>
      </c>
      <c r="B63" t="s">
        <v>77</v>
      </c>
      <c r="C63" t="s">
        <v>24</v>
      </c>
      <c r="D63" t="s">
        <v>25</v>
      </c>
      <c r="E63" t="s">
        <v>26</v>
      </c>
      <c r="F63" t="s">
        <v>78</v>
      </c>
      <c r="G63" t="s">
        <v>28</v>
      </c>
      <c r="J63" t="s">
        <v>28</v>
      </c>
      <c r="K63" s="2" t="e">
        <f>VLOOKUP(A63,Sheet1!A:G, 4, FALSE)</f>
        <v>#N/A</v>
      </c>
      <c r="L63" s="2"/>
    </row>
    <row r="64" spans="1:13">
      <c r="A64" t="s">
        <v>79</v>
      </c>
      <c r="B64" t="s">
        <v>80</v>
      </c>
      <c r="C64" t="s">
        <v>24</v>
      </c>
      <c r="D64" t="s">
        <v>25</v>
      </c>
      <c r="E64" t="s">
        <v>26</v>
      </c>
      <c r="F64" t="s">
        <v>81</v>
      </c>
      <c r="H64" t="s">
        <v>28</v>
      </c>
      <c r="K64" s="2" t="e">
        <f>VLOOKUP(A64,Sheet1!A:G, 4, FALSE)</f>
        <v>#N/A</v>
      </c>
      <c r="L64" s="2"/>
    </row>
    <row r="65" spans="1:13">
      <c r="A65" t="s">
        <v>65</v>
      </c>
      <c r="B65" t="s">
        <v>66</v>
      </c>
      <c r="C65" t="s">
        <v>24</v>
      </c>
      <c r="D65" t="s">
        <v>25</v>
      </c>
      <c r="E65" t="s">
        <v>26</v>
      </c>
      <c r="F65" t="s">
        <v>70</v>
      </c>
      <c r="G65" t="s">
        <v>28</v>
      </c>
      <c r="J65" t="s">
        <v>28</v>
      </c>
      <c r="K65" s="2" t="str">
        <f>VLOOKUP(A65,Sheet1!A:G, 4, FALSE)</f>
        <v>~30% feature parity achieved (Query only)</v>
      </c>
      <c r="L65" s="2"/>
    </row>
    <row r="66" spans="1:13">
      <c r="A66" s="2" t="s">
        <v>71</v>
      </c>
      <c r="B66" s="2" t="s">
        <v>72</v>
      </c>
      <c r="C66" s="2" t="s">
        <v>24</v>
      </c>
      <c r="D66" s="2" t="s">
        <v>25</v>
      </c>
      <c r="E66" s="2" t="s">
        <v>26</v>
      </c>
      <c r="F66" s="2" t="s">
        <v>75</v>
      </c>
      <c r="G66" s="2" t="s">
        <v>28</v>
      </c>
      <c r="H66" s="2" t="s">
        <v>28</v>
      </c>
      <c r="I66" s="2"/>
      <c r="J66" s="2" t="s">
        <v>28</v>
      </c>
      <c r="K66" s="2" t="str">
        <f>VLOOKUP(A66,Sheet1!A:G, 4, FALSE)</f>
        <v>~30% feature parity achieved (Query-only implementation)</v>
      </c>
      <c r="L66" s="2"/>
      <c r="M66" s="2"/>
    </row>
    <row r="67" spans="1:13">
      <c r="A67" s="2" t="s">
        <v>34</v>
      </c>
      <c r="B67" s="2" t="s">
        <v>35</v>
      </c>
      <c r="C67" s="2" t="s">
        <v>24</v>
      </c>
      <c r="D67" s="2" t="s">
        <v>25</v>
      </c>
      <c r="E67" s="2" t="s">
        <v>26</v>
      </c>
      <c r="F67" s="2" t="s">
        <v>37</v>
      </c>
      <c r="G67" s="2" t="s">
        <v>28</v>
      </c>
      <c r="H67" s="2" t="s">
        <v>28</v>
      </c>
      <c r="I67" s="2"/>
      <c r="J67" s="2"/>
      <c r="K67" s="2" t="str">
        <f>VLOOKUP(A67,Sheet1!A:G, 4, FALSE)</f>
        <v>~75-80% feature parity achieved</v>
      </c>
      <c r="L67" s="2"/>
      <c r="M67" s="2"/>
    </row>
    <row r="68" spans="1:13">
      <c r="A68" s="2" t="s">
        <v>20</v>
      </c>
      <c r="B68" s="2" t="s">
        <v>21</v>
      </c>
      <c r="C68" s="2" t="s">
        <v>24</v>
      </c>
      <c r="D68" s="2" t="s">
        <v>25</v>
      </c>
      <c r="E68" s="2" t="s">
        <v>26</v>
      </c>
      <c r="F68" s="2" t="s">
        <v>27</v>
      </c>
      <c r="G68" s="2" t="s">
        <v>28</v>
      </c>
      <c r="H68" s="2" t="s">
        <v>28</v>
      </c>
      <c r="I68" s="2"/>
      <c r="J68" s="2"/>
      <c r="K68" s="2" t="str">
        <f>VLOOKUP(A68,Sheet1!A:G, 4, FALSE)</f>
        <v>~85% feature parity achieved</v>
      </c>
      <c r="L68" s="2"/>
      <c r="M68" s="2"/>
    </row>
    <row r="69" spans="1:13">
      <c r="A69" s="2" t="s">
        <v>90</v>
      </c>
      <c r="B69" s="2" t="s">
        <v>91</v>
      </c>
      <c r="C69" s="2" t="s">
        <v>24</v>
      </c>
      <c r="D69" s="2" t="s">
        <v>25</v>
      </c>
      <c r="E69" s="2" t="s">
        <v>26</v>
      </c>
      <c r="F69" s="2" t="s">
        <v>94</v>
      </c>
      <c r="G69" s="2" t="s">
        <v>28</v>
      </c>
      <c r="H69" s="2" t="s">
        <v>28</v>
      </c>
      <c r="I69" s="2" t="s">
        <v>28</v>
      </c>
      <c r="J69" s="2"/>
      <c r="K69" s="2" t="str">
        <f>VLOOKUP(A69,Sheet1!A:G, 4, FALSE)</f>
        <v>~75% feature parity achieved</v>
      </c>
      <c r="L69" s="2"/>
      <c r="M69" s="2"/>
    </row>
    <row r="70" spans="1:13">
      <c r="A70" t="s">
        <v>102</v>
      </c>
      <c r="B70" t="s">
        <v>103</v>
      </c>
      <c r="C70" t="s">
        <v>24</v>
      </c>
      <c r="D70" t="s">
        <v>25</v>
      </c>
      <c r="E70" t="s">
        <v>26</v>
      </c>
      <c r="F70" t="s">
        <v>104</v>
      </c>
      <c r="G70" t="s">
        <v>28</v>
      </c>
      <c r="K70" s="2" t="e">
        <f>VLOOKUP(A70,Sheet1!A:G, 4, FALSE)</f>
        <v>#N/A</v>
      </c>
      <c r="L70" s="2"/>
    </row>
    <row r="71" spans="1:13">
      <c r="A71" t="s">
        <v>61</v>
      </c>
      <c r="B71" t="s">
        <v>62</v>
      </c>
      <c r="C71" t="s">
        <v>24</v>
      </c>
      <c r="D71" t="s">
        <v>25</v>
      </c>
      <c r="E71" t="s">
        <v>26</v>
      </c>
      <c r="F71" t="s">
        <v>64</v>
      </c>
      <c r="G71" t="s">
        <v>28</v>
      </c>
      <c r="I71" t="s">
        <v>28</v>
      </c>
      <c r="K71" s="2" t="str">
        <f>VLOOKUP(A71,Sheet1!A:G, 4, FALSE)</f>
        <v>~15% feature parity achieved (Prototype only)</v>
      </c>
      <c r="L71" s="2"/>
    </row>
    <row r="72" spans="1:13">
      <c r="A72" t="s">
        <v>237</v>
      </c>
      <c r="B72" t="s">
        <v>238</v>
      </c>
      <c r="C72" t="s">
        <v>239</v>
      </c>
      <c r="D72" t="s">
        <v>239</v>
      </c>
      <c r="E72" t="s">
        <v>26</v>
      </c>
      <c r="F72" t="s">
        <v>240</v>
      </c>
      <c r="G72" t="s">
        <v>28</v>
      </c>
      <c r="K72" s="2" t="str">
        <f>VLOOKUP(A72,Sheet1!A:G, 4, FALSE)</f>
        <v>~85% feature parity achieved</v>
      </c>
      <c r="L72" s="2"/>
    </row>
    <row r="73" spans="1:13">
      <c r="A73" t="s">
        <v>247</v>
      </c>
      <c r="B73" t="s">
        <v>248</v>
      </c>
      <c r="C73" t="s">
        <v>239</v>
      </c>
      <c r="D73" t="s">
        <v>239</v>
      </c>
      <c r="E73" t="s">
        <v>26</v>
      </c>
      <c r="F73" t="s">
        <v>249</v>
      </c>
      <c r="G73" t="s">
        <v>28</v>
      </c>
      <c r="I73" t="s">
        <v>28</v>
      </c>
      <c r="K73" s="2" t="str">
        <f>VLOOKUP(A73,Sheet1!A:G, 4, FALSE)</f>
        <v>~45% feature parity achieved</v>
      </c>
      <c r="L73" s="2"/>
    </row>
    <row r="74" spans="1:13">
      <c r="A74" t="s">
        <v>241</v>
      </c>
      <c r="B74" t="s">
        <v>242</v>
      </c>
      <c r="C74" t="s">
        <v>239</v>
      </c>
      <c r="D74" t="s">
        <v>239</v>
      </c>
      <c r="E74" t="s">
        <v>26</v>
      </c>
      <c r="F74" t="s">
        <v>243</v>
      </c>
      <c r="G74" t="s">
        <v>28</v>
      </c>
      <c r="K74" s="2" t="str">
        <f>VLOOKUP(A74,Sheet1!A:G, 4, FALSE)</f>
        <v>~70% feature parity achieved</v>
      </c>
      <c r="L74" s="2"/>
    </row>
    <row r="75" spans="1:13">
      <c r="A75" t="s">
        <v>250</v>
      </c>
      <c r="B75" t="s">
        <v>251</v>
      </c>
      <c r="C75" t="s">
        <v>239</v>
      </c>
      <c r="D75" t="s">
        <v>239</v>
      </c>
      <c r="E75" t="s">
        <v>26</v>
      </c>
      <c r="F75" t="s">
        <v>252</v>
      </c>
      <c r="G75" t="s">
        <v>28</v>
      </c>
      <c r="K75" s="2" t="str">
        <f>VLOOKUP(A75,Sheet1!A:G, 4, FALSE)</f>
        <v>~65% feature parity achieved</v>
      </c>
      <c r="L75" s="2"/>
    </row>
    <row r="76" spans="1:13">
      <c r="A76" t="s">
        <v>244</v>
      </c>
      <c r="B76" t="s">
        <v>245</v>
      </c>
      <c r="C76" t="s">
        <v>239</v>
      </c>
      <c r="D76" t="s">
        <v>239</v>
      </c>
      <c r="E76" t="s">
        <v>26</v>
      </c>
      <c r="F76" t="s">
        <v>246</v>
      </c>
      <c r="G76" t="s">
        <v>28</v>
      </c>
      <c r="I76" t="s">
        <v>28</v>
      </c>
      <c r="K76" s="2" t="str">
        <f>VLOOKUP(A76,Sheet1!A:G, 4, FALSE)</f>
        <v>~85% feature parity achieved (updated 2026-01-14)</v>
      </c>
      <c r="L76" s="2"/>
    </row>
    <row r="77" spans="1:13">
      <c r="A77" s="1" t="s">
        <v>176</v>
      </c>
      <c r="B77" t="s">
        <v>177</v>
      </c>
      <c r="C77" t="s">
        <v>178</v>
      </c>
      <c r="D77" t="s">
        <v>179</v>
      </c>
      <c r="E77" t="s">
        <v>26</v>
      </c>
      <c r="F77" t="s">
        <v>180</v>
      </c>
      <c r="G77" t="s">
        <v>28</v>
      </c>
      <c r="H77" t="s">
        <v>28</v>
      </c>
      <c r="K77" s="2" t="str">
        <f>VLOOKUP(A77,Sheet1!A:G, 4, FALSE)</f>
        <v>~15% feature parity achieved (UI shell only with mock data)</v>
      </c>
      <c r="L77" s="2"/>
    </row>
    <row r="78" spans="1:13">
      <c r="A78" s="1" t="s">
        <v>181</v>
      </c>
      <c r="B78" t="s">
        <v>182</v>
      </c>
      <c r="C78" t="s">
        <v>178</v>
      </c>
      <c r="D78" t="s">
        <v>179</v>
      </c>
      <c r="E78" t="s">
        <v>26</v>
      </c>
      <c r="F78" t="s">
        <v>183</v>
      </c>
      <c r="G78" t="s">
        <v>28</v>
      </c>
      <c r="J78" t="s">
        <v>28</v>
      </c>
      <c r="K78" s="2" t="str">
        <f>VLOOKUP(A78,Sheet1!A:G, 4, FALSE)</f>
        <v>~75% feature parity achieved</v>
      </c>
      <c r="L78" s="2"/>
    </row>
    <row r="79" spans="1:13">
      <c r="A79" s="1" t="s">
        <v>184</v>
      </c>
      <c r="B79" t="s">
        <v>185</v>
      </c>
      <c r="C79" t="s">
        <v>178</v>
      </c>
      <c r="D79" t="s">
        <v>179</v>
      </c>
      <c r="E79" t="s">
        <v>26</v>
      </c>
      <c r="F79" t="s">
        <v>186</v>
      </c>
      <c r="H79" t="s">
        <v>28</v>
      </c>
      <c r="K79" s="2" t="e">
        <f>VLOOKUP(A79,Sheet1!A:G, 4, FALSE)</f>
        <v>#N/A</v>
      </c>
      <c r="L79" s="2"/>
    </row>
  </sheetData>
  <autoFilter ref="A1:M79" xr:uid="{22338801-842D-4ECE-92DD-EF95191D6BED}">
    <sortState xmlns:xlrd2="http://schemas.microsoft.com/office/spreadsheetml/2017/richdata2" ref="A2:M79">
      <sortCondition ref="C1:C79"/>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6E70-7C24-43E9-829B-6BC9997246E7}">
  <dimension ref="A1:G53"/>
  <sheetViews>
    <sheetView workbookViewId="0">
      <selection activeCell="C2" sqref="C2"/>
    </sheetView>
  </sheetViews>
  <sheetFormatPr defaultRowHeight="15"/>
  <cols>
    <col min="1" max="1" width="12.140625" bestFit="1" customWidth="1"/>
    <col min="2" max="2" width="44.140625" bestFit="1" customWidth="1"/>
    <col min="3" max="5" width="58.7109375" style="6" customWidth="1"/>
    <col min="6" max="7" width="60.5703125" style="6" customWidth="1"/>
  </cols>
  <sheetData>
    <row r="1" spans="1:7">
      <c r="A1" t="s">
        <v>302</v>
      </c>
      <c r="B1" t="s">
        <v>303</v>
      </c>
      <c r="C1" s="6" t="s">
        <v>304</v>
      </c>
      <c r="D1" s="6" t="s">
        <v>305</v>
      </c>
      <c r="E1" s="6" t="s">
        <v>306</v>
      </c>
      <c r="F1" s="6" t="s">
        <v>307</v>
      </c>
      <c r="G1" s="6" t="s">
        <v>308</v>
      </c>
    </row>
    <row r="2" spans="1:7">
      <c r="A2" t="s">
        <v>199</v>
      </c>
      <c r="B2" t="s">
        <v>200</v>
      </c>
      <c r="C2" s="6" t="s">
        <v>309</v>
      </c>
      <c r="D2" s="6" t="s">
        <v>310</v>
      </c>
      <c r="E2" s="6" t="s">
        <v>311</v>
      </c>
      <c r="F2" s="6" t="s">
        <v>309</v>
      </c>
    </row>
    <row r="3" spans="1:7">
      <c r="A3" t="s">
        <v>153</v>
      </c>
      <c r="B3" t="s">
        <v>154</v>
      </c>
      <c r="C3" s="6" t="s">
        <v>309</v>
      </c>
      <c r="D3" s="6" t="s">
        <v>312</v>
      </c>
      <c r="E3" s="6" t="s">
        <v>313</v>
      </c>
      <c r="F3" s="6" t="s">
        <v>309</v>
      </c>
      <c r="G3" s="6" t="s">
        <v>309</v>
      </c>
    </row>
    <row r="4" spans="1:7">
      <c r="A4" t="s">
        <v>161</v>
      </c>
      <c r="B4" t="s">
        <v>162</v>
      </c>
      <c r="C4" s="6" t="s">
        <v>309</v>
      </c>
      <c r="D4" s="6" t="s">
        <v>314</v>
      </c>
      <c r="E4" s="6" t="s">
        <v>315</v>
      </c>
      <c r="F4" s="6" t="s">
        <v>309</v>
      </c>
      <c r="G4" s="6" t="s">
        <v>309</v>
      </c>
    </row>
    <row r="5" spans="1:7">
      <c r="A5" t="s">
        <v>167</v>
      </c>
      <c r="B5" t="s">
        <v>168</v>
      </c>
      <c r="C5" s="6" t="s">
        <v>309</v>
      </c>
      <c r="D5" s="6" t="s">
        <v>316</v>
      </c>
      <c r="E5" s="6" t="s">
        <v>317</v>
      </c>
      <c r="F5" s="6" t="s">
        <v>309</v>
      </c>
      <c r="G5" s="6" t="s">
        <v>309</v>
      </c>
    </row>
    <row r="6" spans="1:7" ht="30">
      <c r="A6" t="s">
        <v>202</v>
      </c>
      <c r="B6" t="s">
        <v>203</v>
      </c>
      <c r="C6" s="6" t="s">
        <v>309</v>
      </c>
      <c r="D6" s="6" t="s">
        <v>318</v>
      </c>
      <c r="E6" s="6" t="s">
        <v>319</v>
      </c>
      <c r="F6" s="6" t="s">
        <v>309</v>
      </c>
    </row>
    <row r="7" spans="1:7">
      <c r="A7" t="s">
        <v>207</v>
      </c>
      <c r="B7" t="s">
        <v>208</v>
      </c>
      <c r="C7" s="6" t="s">
        <v>309</v>
      </c>
      <c r="D7" s="6" t="s">
        <v>314</v>
      </c>
      <c r="E7" s="6" t="s">
        <v>320</v>
      </c>
      <c r="F7" s="6" t="s">
        <v>309</v>
      </c>
      <c r="G7" s="6" t="s">
        <v>309</v>
      </c>
    </row>
    <row r="8" spans="1:7">
      <c r="A8" t="s">
        <v>229</v>
      </c>
      <c r="B8" t="s">
        <v>230</v>
      </c>
      <c r="C8" s="6" t="s">
        <v>309</v>
      </c>
      <c r="D8" s="6" t="s">
        <v>321</v>
      </c>
      <c r="E8" s="6" t="s">
        <v>322</v>
      </c>
      <c r="F8" s="6" t="s">
        <v>309</v>
      </c>
      <c r="G8" s="6" t="s">
        <v>309</v>
      </c>
    </row>
    <row r="9" spans="1:7">
      <c r="A9" t="s">
        <v>209</v>
      </c>
      <c r="B9" t="s">
        <v>323</v>
      </c>
      <c r="C9" s="6" t="s">
        <v>309</v>
      </c>
      <c r="D9" s="6" t="s">
        <v>324</v>
      </c>
      <c r="E9" s="6" t="s">
        <v>325</v>
      </c>
      <c r="F9" s="6" t="s">
        <v>309</v>
      </c>
      <c r="G9" s="6" t="s">
        <v>309</v>
      </c>
    </row>
    <row r="10" spans="1:7">
      <c r="A10" t="s">
        <v>170</v>
      </c>
      <c r="B10" t="s">
        <v>171</v>
      </c>
      <c r="C10" s="6" t="s">
        <v>309</v>
      </c>
      <c r="D10" s="6" t="s">
        <v>314</v>
      </c>
      <c r="E10" s="6" t="s">
        <v>320</v>
      </c>
      <c r="F10" s="6" t="s">
        <v>309</v>
      </c>
      <c r="G10" s="6" t="s">
        <v>309</v>
      </c>
    </row>
    <row r="11" spans="1:7" ht="45">
      <c r="A11" t="s">
        <v>272</v>
      </c>
      <c r="B11" t="s">
        <v>273</v>
      </c>
      <c r="C11" s="6" t="s">
        <v>326</v>
      </c>
      <c r="D11" s="6" t="s">
        <v>314</v>
      </c>
      <c r="E11" s="6" t="s">
        <v>327</v>
      </c>
      <c r="F11" s="6" t="s">
        <v>328</v>
      </c>
      <c r="G11" s="6" t="s">
        <v>329</v>
      </c>
    </row>
    <row r="12" spans="1:7" ht="45">
      <c r="A12" t="s">
        <v>38</v>
      </c>
      <c r="B12" t="s">
        <v>39</v>
      </c>
      <c r="C12" s="6" t="s">
        <v>330</v>
      </c>
      <c r="D12" s="6" t="s">
        <v>331</v>
      </c>
      <c r="E12" s="6" t="s">
        <v>332</v>
      </c>
      <c r="F12" s="6" t="s">
        <v>333</v>
      </c>
      <c r="G12" s="6" t="s">
        <v>334</v>
      </c>
    </row>
    <row r="13" spans="1:7">
      <c r="A13" t="s">
        <v>43</v>
      </c>
      <c r="B13" t="s">
        <v>44</v>
      </c>
      <c r="C13" s="6" t="s">
        <v>309</v>
      </c>
      <c r="D13" s="6" t="s">
        <v>331</v>
      </c>
      <c r="E13" s="6" t="s">
        <v>325</v>
      </c>
      <c r="F13" s="6" t="s">
        <v>309</v>
      </c>
      <c r="G13" s="6" t="s">
        <v>309</v>
      </c>
    </row>
    <row r="14" spans="1:7">
      <c r="A14" t="s">
        <v>46</v>
      </c>
      <c r="B14" t="s">
        <v>47</v>
      </c>
      <c r="C14" s="6" t="s">
        <v>309</v>
      </c>
      <c r="D14" s="6" t="s">
        <v>331</v>
      </c>
      <c r="E14" s="6" t="s">
        <v>325</v>
      </c>
      <c r="F14" s="6" t="s">
        <v>309</v>
      </c>
      <c r="G14" s="6" t="s">
        <v>309</v>
      </c>
    </row>
    <row r="15" spans="1:7" ht="75">
      <c r="A15" t="s">
        <v>49</v>
      </c>
      <c r="B15" t="s">
        <v>50</v>
      </c>
      <c r="C15" s="6" t="s">
        <v>335</v>
      </c>
      <c r="D15" s="6" t="s">
        <v>336</v>
      </c>
      <c r="E15" s="6" t="s">
        <v>337</v>
      </c>
      <c r="F15" s="6" t="s">
        <v>338</v>
      </c>
      <c r="G15" s="6" t="s">
        <v>339</v>
      </c>
    </row>
    <row r="16" spans="1:7" ht="75">
      <c r="A16" t="s">
        <v>55</v>
      </c>
      <c r="B16" t="s">
        <v>56</v>
      </c>
      <c r="C16" s="6" t="s">
        <v>340</v>
      </c>
      <c r="D16" s="6" t="s">
        <v>341</v>
      </c>
      <c r="E16" s="6" t="s">
        <v>342</v>
      </c>
      <c r="F16" s="6" t="s">
        <v>343</v>
      </c>
      <c r="G16" s="6" t="s">
        <v>344</v>
      </c>
    </row>
    <row r="17" spans="1:7" ht="60">
      <c r="A17" t="s">
        <v>82</v>
      </c>
      <c r="B17" t="s">
        <v>83</v>
      </c>
      <c r="C17" s="6" t="s">
        <v>345</v>
      </c>
      <c r="D17" s="6" t="s">
        <v>321</v>
      </c>
      <c r="E17" s="6" t="s">
        <v>346</v>
      </c>
      <c r="F17" s="6" t="s">
        <v>347</v>
      </c>
      <c r="G17" s="6" t="s">
        <v>348</v>
      </c>
    </row>
    <row r="18" spans="1:7">
      <c r="A18" t="s">
        <v>119</v>
      </c>
      <c r="B18" t="s">
        <v>120</v>
      </c>
      <c r="C18" s="6" t="s">
        <v>309</v>
      </c>
      <c r="D18" s="6" t="s">
        <v>314</v>
      </c>
      <c r="E18" s="6" t="s">
        <v>349</v>
      </c>
      <c r="F18" s="6" t="s">
        <v>309</v>
      </c>
      <c r="G18" s="6" t="s">
        <v>309</v>
      </c>
    </row>
    <row r="19" spans="1:7" ht="60">
      <c r="A19" t="s">
        <v>123</v>
      </c>
      <c r="B19" t="s">
        <v>124</v>
      </c>
      <c r="C19" s="6" t="s">
        <v>350</v>
      </c>
      <c r="D19" s="6" t="s">
        <v>314</v>
      </c>
      <c r="E19" s="6" t="s">
        <v>351</v>
      </c>
      <c r="F19" s="6" t="s">
        <v>352</v>
      </c>
      <c r="G19" s="6" t="s">
        <v>353</v>
      </c>
    </row>
    <row r="20" spans="1:7">
      <c r="A20" t="s">
        <v>126</v>
      </c>
      <c r="B20" t="s">
        <v>127</v>
      </c>
      <c r="C20" s="6" t="s">
        <v>309</v>
      </c>
      <c r="D20" s="6" t="s">
        <v>354</v>
      </c>
      <c r="E20" s="6" t="s">
        <v>313</v>
      </c>
      <c r="F20" s="6" t="s">
        <v>309</v>
      </c>
    </row>
    <row r="21" spans="1:7">
      <c r="A21" t="s">
        <v>134</v>
      </c>
      <c r="B21" t="s">
        <v>135</v>
      </c>
      <c r="C21" s="6" t="s">
        <v>309</v>
      </c>
      <c r="D21" s="6" t="s">
        <v>321</v>
      </c>
      <c r="E21" s="6" t="s">
        <v>355</v>
      </c>
      <c r="F21" s="6" t="s">
        <v>309</v>
      </c>
      <c r="G21" s="6" t="s">
        <v>309</v>
      </c>
    </row>
    <row r="22" spans="1:7" ht="60">
      <c r="A22" t="s">
        <v>143</v>
      </c>
      <c r="B22" t="s">
        <v>144</v>
      </c>
      <c r="C22" s="6" t="s">
        <v>356</v>
      </c>
      <c r="D22" s="6" t="s">
        <v>336</v>
      </c>
      <c r="E22" s="6" t="s">
        <v>357</v>
      </c>
      <c r="F22" s="6" t="s">
        <v>358</v>
      </c>
      <c r="G22" s="6" t="s">
        <v>359</v>
      </c>
    </row>
    <row r="23" spans="1:7">
      <c r="A23" t="s">
        <v>147</v>
      </c>
      <c r="B23" t="s">
        <v>148</v>
      </c>
      <c r="C23" s="6" t="s">
        <v>309</v>
      </c>
      <c r="D23" s="6" t="s">
        <v>331</v>
      </c>
      <c r="E23" s="6" t="s">
        <v>360</v>
      </c>
      <c r="F23" s="6" t="s">
        <v>309</v>
      </c>
      <c r="G23" s="6" t="s">
        <v>309</v>
      </c>
    </row>
    <row r="24" spans="1:7">
      <c r="A24" t="s">
        <v>280</v>
      </c>
      <c r="B24" t="s">
        <v>281</v>
      </c>
      <c r="C24" s="6" t="s">
        <v>309</v>
      </c>
      <c r="D24" s="6" t="s">
        <v>321</v>
      </c>
      <c r="E24" s="6" t="s">
        <v>361</v>
      </c>
      <c r="F24" s="6" t="s">
        <v>309</v>
      </c>
      <c r="G24" s="6" t="s">
        <v>309</v>
      </c>
    </row>
    <row r="25" spans="1:7" ht="60">
      <c r="A25" t="s">
        <v>222</v>
      </c>
      <c r="B25" t="s">
        <v>223</v>
      </c>
      <c r="C25" s="6" t="s">
        <v>362</v>
      </c>
      <c r="D25" s="6" t="s">
        <v>363</v>
      </c>
      <c r="E25" s="6" t="s">
        <v>361</v>
      </c>
      <c r="F25" s="6" t="s">
        <v>364</v>
      </c>
      <c r="G25" s="6" t="s">
        <v>365</v>
      </c>
    </row>
    <row r="26" spans="1:7">
      <c r="A26" t="s">
        <v>226</v>
      </c>
      <c r="B26" t="s">
        <v>227</v>
      </c>
      <c r="C26" s="6" t="s">
        <v>309</v>
      </c>
      <c r="D26" s="6" t="s">
        <v>314</v>
      </c>
      <c r="E26" s="6" t="s">
        <v>366</v>
      </c>
      <c r="F26" s="6" t="s">
        <v>309</v>
      </c>
      <c r="G26" s="6" t="s">
        <v>309</v>
      </c>
    </row>
    <row r="27" spans="1:7" ht="150">
      <c r="A27" t="s">
        <v>30</v>
      </c>
      <c r="B27" t="s">
        <v>31</v>
      </c>
      <c r="C27" s="6" t="s">
        <v>367</v>
      </c>
      <c r="D27" s="6" t="s">
        <v>321</v>
      </c>
      <c r="E27" s="6" t="s">
        <v>368</v>
      </c>
      <c r="F27" s="6" t="s">
        <v>369</v>
      </c>
      <c r="G27" s="6" t="s">
        <v>370</v>
      </c>
    </row>
    <row r="28" spans="1:7" ht="75">
      <c r="A28" t="s">
        <v>261</v>
      </c>
      <c r="B28" t="s">
        <v>262</v>
      </c>
      <c r="C28" s="6" t="s">
        <v>371</v>
      </c>
      <c r="D28" s="6" t="s">
        <v>312</v>
      </c>
      <c r="E28" s="6" t="s">
        <v>372</v>
      </c>
      <c r="F28" s="6" t="s">
        <v>373</v>
      </c>
      <c r="G28" s="6" t="s">
        <v>374</v>
      </c>
    </row>
    <row r="29" spans="1:7">
      <c r="A29" t="s">
        <v>375</v>
      </c>
      <c r="B29" t="s">
        <v>376</v>
      </c>
      <c r="C29" s="6" t="s">
        <v>309</v>
      </c>
      <c r="D29" s="6" t="s">
        <v>377</v>
      </c>
      <c r="E29" s="6" t="s">
        <v>319</v>
      </c>
      <c r="G29" s="6" t="s">
        <v>309</v>
      </c>
    </row>
    <row r="30" spans="1:7" ht="30">
      <c r="A30" t="s">
        <v>253</v>
      </c>
      <c r="B30" t="s">
        <v>254</v>
      </c>
      <c r="C30" s="6" t="s">
        <v>309</v>
      </c>
      <c r="D30" s="6" t="s">
        <v>378</v>
      </c>
      <c r="E30" s="6" t="s">
        <v>379</v>
      </c>
      <c r="F30" s="6" t="s">
        <v>309</v>
      </c>
    </row>
    <row r="31" spans="1:7" ht="60">
      <c r="A31" t="s">
        <v>237</v>
      </c>
      <c r="B31" t="s">
        <v>238</v>
      </c>
      <c r="C31" s="6" t="s">
        <v>380</v>
      </c>
      <c r="D31" s="6" t="s">
        <v>331</v>
      </c>
      <c r="E31" s="6" t="s">
        <v>337</v>
      </c>
      <c r="F31" s="6" t="s">
        <v>381</v>
      </c>
      <c r="G31" s="6" t="s">
        <v>382</v>
      </c>
    </row>
    <row r="32" spans="1:7" ht="75">
      <c r="A32" t="s">
        <v>247</v>
      </c>
      <c r="B32" t="s">
        <v>248</v>
      </c>
      <c r="C32" s="6" t="s">
        <v>383</v>
      </c>
      <c r="D32" s="6" t="s">
        <v>384</v>
      </c>
      <c r="E32" s="6" t="s">
        <v>342</v>
      </c>
      <c r="F32" s="6" t="s">
        <v>385</v>
      </c>
      <c r="G32" s="6" t="s">
        <v>386</v>
      </c>
    </row>
    <row r="33" spans="1:7" ht="75">
      <c r="A33" t="s">
        <v>241</v>
      </c>
      <c r="B33" t="s">
        <v>242</v>
      </c>
      <c r="C33" s="6" t="s">
        <v>387</v>
      </c>
      <c r="D33" s="6" t="s">
        <v>388</v>
      </c>
      <c r="E33" s="6" t="s">
        <v>389</v>
      </c>
      <c r="F33" s="6" t="s">
        <v>390</v>
      </c>
      <c r="G33" s="6" t="s">
        <v>391</v>
      </c>
    </row>
    <row r="34" spans="1:7" ht="60">
      <c r="A34" t="s">
        <v>250</v>
      </c>
      <c r="B34" t="s">
        <v>251</v>
      </c>
      <c r="C34" s="6" t="s">
        <v>392</v>
      </c>
      <c r="D34" s="6" t="s">
        <v>321</v>
      </c>
      <c r="E34" s="6" t="s">
        <v>342</v>
      </c>
      <c r="F34" s="6" t="s">
        <v>393</v>
      </c>
      <c r="G34" s="6" t="s">
        <v>394</v>
      </c>
    </row>
    <row r="35" spans="1:7">
      <c r="A35" t="s">
        <v>244</v>
      </c>
      <c r="B35" t="s">
        <v>245</v>
      </c>
      <c r="C35" s="6" t="s">
        <v>309</v>
      </c>
      <c r="D35" s="6" t="s">
        <v>316</v>
      </c>
      <c r="E35" s="6" t="s">
        <v>317</v>
      </c>
      <c r="F35" s="6" t="s">
        <v>309</v>
      </c>
      <c r="G35" s="6" t="s">
        <v>309</v>
      </c>
    </row>
    <row r="36" spans="1:7" ht="75">
      <c r="A36" t="s">
        <v>395</v>
      </c>
      <c r="B36" t="s">
        <v>396</v>
      </c>
      <c r="C36" s="6" t="s">
        <v>397</v>
      </c>
      <c r="D36" s="6" t="s">
        <v>398</v>
      </c>
      <c r="E36" s="6" t="s">
        <v>399</v>
      </c>
      <c r="F36" s="6" t="s">
        <v>309</v>
      </c>
      <c r="G36" s="6" t="s">
        <v>309</v>
      </c>
    </row>
    <row r="37" spans="1:7">
      <c r="A37" t="s">
        <v>105</v>
      </c>
      <c r="B37" t="s">
        <v>106</v>
      </c>
      <c r="C37" s="6" t="s">
        <v>309</v>
      </c>
      <c r="D37" s="6" t="s">
        <v>354</v>
      </c>
      <c r="E37" s="6" t="s">
        <v>400</v>
      </c>
      <c r="F37" s="6" t="s">
        <v>309</v>
      </c>
      <c r="G37" s="6" t="s">
        <v>309</v>
      </c>
    </row>
    <row r="38" spans="1:7">
      <c r="A38" t="s">
        <v>401</v>
      </c>
      <c r="B38" t="s">
        <v>402</v>
      </c>
      <c r="C38" s="6" t="s">
        <v>309</v>
      </c>
      <c r="D38" s="6" t="s">
        <v>354</v>
      </c>
      <c r="E38" s="6" t="s">
        <v>403</v>
      </c>
      <c r="F38" s="6" t="s">
        <v>309</v>
      </c>
      <c r="G38" s="6" t="s">
        <v>309</v>
      </c>
    </row>
    <row r="39" spans="1:7">
      <c r="A39" t="s">
        <v>258</v>
      </c>
      <c r="B39" t="s">
        <v>259</v>
      </c>
      <c r="C39" s="6" t="s">
        <v>309</v>
      </c>
      <c r="D39" s="6" t="s">
        <v>312</v>
      </c>
      <c r="E39" s="6" t="s">
        <v>404</v>
      </c>
      <c r="F39" s="6" t="s">
        <v>309</v>
      </c>
      <c r="G39" s="6" t="s">
        <v>309</v>
      </c>
    </row>
    <row r="40" spans="1:7" ht="90">
      <c r="A40" t="s">
        <v>277</v>
      </c>
      <c r="B40" t="s">
        <v>278</v>
      </c>
      <c r="C40" s="6" t="s">
        <v>405</v>
      </c>
      <c r="D40" s="6" t="s">
        <v>406</v>
      </c>
      <c r="E40" s="6" t="s">
        <v>407</v>
      </c>
      <c r="F40" s="6" t="s">
        <v>408</v>
      </c>
      <c r="G40" s="6" t="s">
        <v>409</v>
      </c>
    </row>
    <row r="41" spans="1:7">
      <c r="A41" t="s">
        <v>176</v>
      </c>
      <c r="B41" t="s">
        <v>177</v>
      </c>
      <c r="C41" s="6" t="s">
        <v>309</v>
      </c>
      <c r="D41" s="6" t="s">
        <v>410</v>
      </c>
      <c r="E41" s="6" t="s">
        <v>411</v>
      </c>
      <c r="F41" s="6" t="s">
        <v>309</v>
      </c>
      <c r="G41" s="6" t="s">
        <v>309</v>
      </c>
    </row>
    <row r="42" spans="1:7" ht="120">
      <c r="A42" t="s">
        <v>181</v>
      </c>
      <c r="B42" t="s">
        <v>182</v>
      </c>
      <c r="C42" s="6" t="s">
        <v>412</v>
      </c>
      <c r="D42" s="6" t="s">
        <v>314</v>
      </c>
      <c r="E42" s="6" t="s">
        <v>413</v>
      </c>
      <c r="F42" s="6" t="s">
        <v>414</v>
      </c>
      <c r="G42" s="6" t="s">
        <v>415</v>
      </c>
    </row>
    <row r="43" spans="1:7">
      <c r="A43" t="s">
        <v>416</v>
      </c>
      <c r="B43" t="s">
        <v>417</v>
      </c>
      <c r="C43" s="6" t="s">
        <v>309</v>
      </c>
      <c r="D43" s="6" t="s">
        <v>418</v>
      </c>
      <c r="E43" s="6" t="s">
        <v>419</v>
      </c>
      <c r="F43" s="6" t="s">
        <v>309</v>
      </c>
      <c r="G43" s="6" t="s">
        <v>309</v>
      </c>
    </row>
    <row r="44" spans="1:7" ht="30">
      <c r="A44" t="s">
        <v>420</v>
      </c>
      <c r="B44" t="s">
        <v>421</v>
      </c>
      <c r="C44" s="6" t="s">
        <v>309</v>
      </c>
      <c r="D44" s="6" t="s">
        <v>422</v>
      </c>
      <c r="E44" s="6" t="s">
        <v>423</v>
      </c>
      <c r="F44" s="6" t="s">
        <v>309</v>
      </c>
      <c r="G44" s="6" t="s">
        <v>309</v>
      </c>
    </row>
    <row r="45" spans="1:7">
      <c r="A45" t="s">
        <v>287</v>
      </c>
      <c r="B45" t="s">
        <v>288</v>
      </c>
      <c r="C45" s="6" t="s">
        <v>309</v>
      </c>
      <c r="D45" s="6" t="s">
        <v>331</v>
      </c>
      <c r="E45" s="6" t="s">
        <v>424</v>
      </c>
      <c r="F45" s="6" t="s">
        <v>309</v>
      </c>
      <c r="G45" s="6" t="s">
        <v>309</v>
      </c>
    </row>
    <row r="46" spans="1:7">
      <c r="A46" t="s">
        <v>290</v>
      </c>
      <c r="B46" t="s">
        <v>291</v>
      </c>
      <c r="C46" s="6" t="s">
        <v>309</v>
      </c>
      <c r="D46" s="6" t="s">
        <v>336</v>
      </c>
      <c r="E46" s="6" t="s">
        <v>425</v>
      </c>
      <c r="F46" s="6" t="s">
        <v>309</v>
      </c>
      <c r="G46" s="6" t="s">
        <v>309</v>
      </c>
    </row>
    <row r="47" spans="1:7" ht="45">
      <c r="A47" t="s">
        <v>283</v>
      </c>
      <c r="B47" t="s">
        <v>284</v>
      </c>
      <c r="C47" s="6" t="s">
        <v>426</v>
      </c>
      <c r="D47" s="6" t="s">
        <v>314</v>
      </c>
      <c r="E47" s="6" t="s">
        <v>427</v>
      </c>
      <c r="F47" s="6" t="s">
        <v>428</v>
      </c>
      <c r="G47" s="6" t="s">
        <v>429</v>
      </c>
    </row>
    <row r="48" spans="1:7" ht="90">
      <c r="A48" t="s">
        <v>65</v>
      </c>
      <c r="B48" t="s">
        <v>66</v>
      </c>
      <c r="C48" s="6" t="s">
        <v>430</v>
      </c>
      <c r="D48" s="6" t="s">
        <v>431</v>
      </c>
      <c r="E48" s="6" t="s">
        <v>432</v>
      </c>
      <c r="F48" s="6" t="s">
        <v>433</v>
      </c>
      <c r="G48" s="6" t="s">
        <v>434</v>
      </c>
    </row>
    <row r="49" spans="1:7">
      <c r="A49" t="s">
        <v>71</v>
      </c>
      <c r="B49" t="s">
        <v>72</v>
      </c>
      <c r="C49" s="6" t="s">
        <v>309</v>
      </c>
      <c r="D49" s="6" t="s">
        <v>435</v>
      </c>
      <c r="E49" s="6" t="s">
        <v>436</v>
      </c>
      <c r="F49" s="6" t="s">
        <v>309</v>
      </c>
      <c r="G49" s="6" t="s">
        <v>309</v>
      </c>
    </row>
    <row r="50" spans="1:7" ht="135">
      <c r="A50" t="s">
        <v>34</v>
      </c>
      <c r="B50" t="s">
        <v>35</v>
      </c>
      <c r="C50" s="6" t="s">
        <v>437</v>
      </c>
      <c r="D50" s="6" t="s">
        <v>438</v>
      </c>
      <c r="E50" s="6" t="s">
        <v>439</v>
      </c>
      <c r="F50" s="6" t="s">
        <v>440</v>
      </c>
      <c r="G50" s="6" t="s">
        <v>441</v>
      </c>
    </row>
    <row r="51" spans="1:7">
      <c r="A51" t="s">
        <v>20</v>
      </c>
      <c r="B51" t="s">
        <v>21</v>
      </c>
      <c r="C51" s="6" t="s">
        <v>309</v>
      </c>
      <c r="D51" s="6" t="s">
        <v>331</v>
      </c>
      <c r="E51" s="6" t="s">
        <v>442</v>
      </c>
      <c r="F51" s="6" t="s">
        <v>309</v>
      </c>
      <c r="G51" s="6" t="s">
        <v>309</v>
      </c>
    </row>
    <row r="52" spans="1:7">
      <c r="A52" t="s">
        <v>90</v>
      </c>
      <c r="B52" t="s">
        <v>91</v>
      </c>
      <c r="C52" s="6" t="s">
        <v>309</v>
      </c>
      <c r="D52" s="6" t="s">
        <v>314</v>
      </c>
      <c r="E52" s="6" t="s">
        <v>366</v>
      </c>
      <c r="F52" s="6" t="s">
        <v>309</v>
      </c>
      <c r="G52" s="6" t="s">
        <v>309</v>
      </c>
    </row>
    <row r="53" spans="1:7" ht="90">
      <c r="A53" t="s">
        <v>61</v>
      </c>
      <c r="B53" t="s">
        <v>62</v>
      </c>
      <c r="C53" s="6" t="s">
        <v>443</v>
      </c>
      <c r="D53" s="6" t="s">
        <v>444</v>
      </c>
      <c r="E53" s="6" t="s">
        <v>445</v>
      </c>
      <c r="F53" s="6" t="s">
        <v>446</v>
      </c>
      <c r="G53" s="6" t="s">
        <v>447</v>
      </c>
    </row>
  </sheetData>
  <autoFilter ref="A1:G53" xr:uid="{71826E70-7C24-43E9-829B-6BC9997246E7}">
    <sortState xmlns:xlrd2="http://schemas.microsoft.com/office/spreadsheetml/2017/richdata2" ref="A2:G53">
      <sortCondition ref="A1:A53"/>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79584-0CCD-4590-8B5F-F4141C105947}">
  <dimension ref="A1:F56"/>
  <sheetViews>
    <sheetView workbookViewId="0">
      <selection activeCell="A56" sqref="A56"/>
    </sheetView>
  </sheetViews>
  <sheetFormatPr defaultRowHeight="15"/>
  <cols>
    <col min="1" max="1" width="44" bestFit="1" customWidth="1"/>
    <col min="2" max="2" width="33" bestFit="1" customWidth="1"/>
    <col min="3" max="3" width="23.140625" bestFit="1" customWidth="1"/>
    <col min="4" max="4" width="23.140625" customWidth="1"/>
    <col min="5" max="5" width="15.7109375" bestFit="1" customWidth="1"/>
    <col min="6" max="6" width="10.7109375" bestFit="1" customWidth="1"/>
  </cols>
  <sheetData>
    <row r="1" spans="1:6" s="8" customFormat="1">
      <c r="A1" s="8" t="s">
        <v>448</v>
      </c>
      <c r="B1" s="8" t="s">
        <v>449</v>
      </c>
      <c r="C1" s="8" t="s">
        <v>450</v>
      </c>
      <c r="D1" s="8" t="s">
        <v>451</v>
      </c>
      <c r="E1" s="8" t="s">
        <v>452</v>
      </c>
      <c r="F1" s="8" t="s">
        <v>453</v>
      </c>
    </row>
    <row r="2" spans="1:6">
      <c r="A2" t="s">
        <v>454</v>
      </c>
      <c r="B2" t="s">
        <v>455</v>
      </c>
      <c r="C2" t="s">
        <v>456</v>
      </c>
      <c r="E2" s="7">
        <v>1</v>
      </c>
    </row>
    <row r="3" spans="1:6">
      <c r="A3" t="s">
        <v>454</v>
      </c>
      <c r="B3" t="s">
        <v>457</v>
      </c>
      <c r="C3" t="s">
        <v>456</v>
      </c>
      <c r="E3" s="7">
        <v>0.8</v>
      </c>
    </row>
    <row r="4" spans="1:6">
      <c r="A4" t="s">
        <v>454</v>
      </c>
      <c r="B4" t="s">
        <v>458</v>
      </c>
      <c r="C4" t="s">
        <v>456</v>
      </c>
      <c r="E4" s="7">
        <v>0.8</v>
      </c>
    </row>
    <row r="5" spans="1:6">
      <c r="A5" t="s">
        <v>459</v>
      </c>
      <c r="C5" t="s">
        <v>460</v>
      </c>
    </row>
    <row r="6" spans="1:6">
      <c r="A6" t="s">
        <v>459</v>
      </c>
      <c r="B6" t="s">
        <v>461</v>
      </c>
    </row>
    <row r="7" spans="1:6">
      <c r="A7" t="s">
        <v>462</v>
      </c>
    </row>
    <row r="8" spans="1:6">
      <c r="A8" t="s">
        <v>463</v>
      </c>
    </row>
    <row r="9" spans="1:6">
      <c r="A9" t="s">
        <v>464</v>
      </c>
    </row>
    <row r="10" spans="1:6">
      <c r="A10" t="s">
        <v>464</v>
      </c>
      <c r="B10" t="s">
        <v>465</v>
      </c>
      <c r="C10" t="s">
        <v>460</v>
      </c>
    </row>
    <row r="11" spans="1:6">
      <c r="A11" t="s">
        <v>464</v>
      </c>
      <c r="B11" t="s">
        <v>466</v>
      </c>
      <c r="C11" t="s">
        <v>460</v>
      </c>
    </row>
    <row r="12" spans="1:6">
      <c r="A12" t="s">
        <v>464</v>
      </c>
      <c r="B12" t="s">
        <v>467</v>
      </c>
      <c r="C12" t="s">
        <v>460</v>
      </c>
    </row>
    <row r="13" spans="1:6">
      <c r="A13" t="s">
        <v>464</v>
      </c>
      <c r="B13" t="s">
        <v>468</v>
      </c>
      <c r="C13" t="s">
        <v>460</v>
      </c>
    </row>
    <row r="14" spans="1:6">
      <c r="A14" t="s">
        <v>464</v>
      </c>
      <c r="B14" t="s">
        <v>469</v>
      </c>
      <c r="C14" t="s">
        <v>460</v>
      </c>
    </row>
    <row r="15" spans="1:6">
      <c r="A15" t="s">
        <v>470</v>
      </c>
      <c r="B15" t="s">
        <v>471</v>
      </c>
    </row>
    <row r="16" spans="1:6">
      <c r="A16" t="s">
        <v>470</v>
      </c>
      <c r="B16" t="s">
        <v>472</v>
      </c>
    </row>
    <row r="17" spans="1:3">
      <c r="A17" t="s">
        <v>470</v>
      </c>
      <c r="B17" t="s">
        <v>473</v>
      </c>
    </row>
    <row r="18" spans="1:3">
      <c r="A18" t="s">
        <v>474</v>
      </c>
      <c r="C18" t="s">
        <v>456</v>
      </c>
    </row>
    <row r="19" spans="1:3">
      <c r="A19" t="s">
        <v>475</v>
      </c>
    </row>
    <row r="20" spans="1:3">
      <c r="A20" t="s">
        <v>475</v>
      </c>
      <c r="B20" t="s">
        <v>476</v>
      </c>
    </row>
    <row r="21" spans="1:3">
      <c r="A21" t="s">
        <v>477</v>
      </c>
    </row>
    <row r="22" spans="1:3">
      <c r="A22" t="s">
        <v>477</v>
      </c>
      <c r="B22" t="s">
        <v>478</v>
      </c>
    </row>
    <row r="23" spans="1:3">
      <c r="A23" t="s">
        <v>479</v>
      </c>
      <c r="B23" t="s">
        <v>480</v>
      </c>
    </row>
    <row r="24" spans="1:3">
      <c r="A24" t="s">
        <v>479</v>
      </c>
      <c r="B24" t="s">
        <v>481</v>
      </c>
    </row>
    <row r="25" spans="1:3">
      <c r="A25" t="s">
        <v>479</v>
      </c>
      <c r="B25" t="s">
        <v>482</v>
      </c>
    </row>
    <row r="26" spans="1:3">
      <c r="A26" t="s">
        <v>483</v>
      </c>
    </row>
    <row r="27" spans="1:3">
      <c r="A27" t="s">
        <v>483</v>
      </c>
      <c r="B27" t="s">
        <v>484</v>
      </c>
    </row>
    <row r="28" spans="1:3">
      <c r="A28" t="s">
        <v>483</v>
      </c>
      <c r="B28" t="s">
        <v>485</v>
      </c>
    </row>
    <row r="29" spans="1:3">
      <c r="A29" t="s">
        <v>483</v>
      </c>
      <c r="B29" t="s">
        <v>486</v>
      </c>
    </row>
    <row r="30" spans="1:3">
      <c r="A30" t="s">
        <v>487</v>
      </c>
    </row>
    <row r="31" spans="1:3">
      <c r="A31" t="s">
        <v>487</v>
      </c>
      <c r="B31" t="s">
        <v>488</v>
      </c>
    </row>
    <row r="32" spans="1:3">
      <c r="A32" t="s">
        <v>489</v>
      </c>
    </row>
    <row r="33" spans="1:5">
      <c r="A33" t="s">
        <v>490</v>
      </c>
      <c r="B33" t="s">
        <v>491</v>
      </c>
      <c r="C33" t="s">
        <v>456</v>
      </c>
    </row>
    <row r="34" spans="1:5">
      <c r="A34" t="s">
        <v>490</v>
      </c>
      <c r="B34" t="s">
        <v>492</v>
      </c>
      <c r="C34" t="s">
        <v>460</v>
      </c>
    </row>
    <row r="35" spans="1:5">
      <c r="A35" t="s">
        <v>493</v>
      </c>
      <c r="B35" t="s">
        <v>494</v>
      </c>
      <c r="C35" t="s">
        <v>456</v>
      </c>
    </row>
    <row r="36" spans="1:5">
      <c r="A36" t="s">
        <v>493</v>
      </c>
      <c r="B36" t="s">
        <v>495</v>
      </c>
      <c r="C36" t="s">
        <v>456</v>
      </c>
    </row>
    <row r="37" spans="1:5">
      <c r="A37" t="s">
        <v>496</v>
      </c>
      <c r="B37" t="s">
        <v>497</v>
      </c>
      <c r="C37" t="s">
        <v>460</v>
      </c>
      <c r="E37" s="7">
        <v>1</v>
      </c>
    </row>
    <row r="38" spans="1:5">
      <c r="A38" t="s">
        <v>496</v>
      </c>
      <c r="B38" t="s">
        <v>498</v>
      </c>
      <c r="C38" t="s">
        <v>499</v>
      </c>
    </row>
    <row r="39" spans="1:5">
      <c r="A39" t="s">
        <v>496</v>
      </c>
      <c r="B39" t="s">
        <v>500</v>
      </c>
      <c r="C39" t="s">
        <v>501</v>
      </c>
    </row>
    <row r="40" spans="1:5">
      <c r="A40" t="s">
        <v>502</v>
      </c>
    </row>
    <row r="41" spans="1:5">
      <c r="A41" t="s">
        <v>502</v>
      </c>
      <c r="B41" t="s">
        <v>503</v>
      </c>
      <c r="C41" t="s">
        <v>456</v>
      </c>
      <c r="E41" s="7">
        <v>1</v>
      </c>
    </row>
    <row r="42" spans="1:5">
      <c r="A42" t="s">
        <v>504</v>
      </c>
      <c r="B42" t="s">
        <v>505</v>
      </c>
    </row>
    <row r="43" spans="1:5">
      <c r="A43" t="s">
        <v>506</v>
      </c>
      <c r="B43" t="s">
        <v>507</v>
      </c>
      <c r="C43" t="s">
        <v>508</v>
      </c>
    </row>
    <row r="44" spans="1:5">
      <c r="A44" t="s">
        <v>506</v>
      </c>
      <c r="B44" t="s">
        <v>470</v>
      </c>
    </row>
    <row r="45" spans="1:5">
      <c r="A45" t="s">
        <v>506</v>
      </c>
      <c r="B45" t="s">
        <v>479</v>
      </c>
    </row>
    <row r="46" spans="1:5">
      <c r="A46" t="s">
        <v>509</v>
      </c>
      <c r="B46" t="s">
        <v>510</v>
      </c>
      <c r="C46" t="s">
        <v>501</v>
      </c>
    </row>
    <row r="47" spans="1:5">
      <c r="A47" t="s">
        <v>509</v>
      </c>
      <c r="B47" t="s">
        <v>511</v>
      </c>
      <c r="C47" t="s">
        <v>508</v>
      </c>
    </row>
    <row r="48" spans="1:5">
      <c r="A48" t="s">
        <v>509</v>
      </c>
      <c r="B48" t="s">
        <v>512</v>
      </c>
      <c r="C48" t="s">
        <v>499</v>
      </c>
    </row>
    <row r="49" spans="1:5">
      <c r="A49" t="s">
        <v>513</v>
      </c>
    </row>
    <row r="50" spans="1:5">
      <c r="A50" t="s">
        <v>514</v>
      </c>
    </row>
    <row r="51" spans="1:5">
      <c r="A51" t="s">
        <v>514</v>
      </c>
      <c r="B51" t="s">
        <v>515</v>
      </c>
    </row>
    <row r="52" spans="1:5">
      <c r="A52" t="s">
        <v>516</v>
      </c>
    </row>
    <row r="53" spans="1:5">
      <c r="A53" t="s">
        <v>516</v>
      </c>
      <c r="B53" t="s">
        <v>517</v>
      </c>
    </row>
    <row r="54" spans="1:5">
      <c r="A54" t="s">
        <v>518</v>
      </c>
      <c r="B54" t="s">
        <v>519</v>
      </c>
      <c r="C54" t="s">
        <v>456</v>
      </c>
      <c r="E54" s="7">
        <v>1</v>
      </c>
    </row>
    <row r="55" spans="1:5">
      <c r="A55" t="s">
        <v>518</v>
      </c>
      <c r="B55" t="s">
        <v>520</v>
      </c>
      <c r="C55" t="s">
        <v>456</v>
      </c>
    </row>
    <row r="56" spans="1:5">
      <c r="A56" t="s">
        <v>521</v>
      </c>
      <c r="C56" t="s">
        <v>508</v>
      </c>
      <c r="D56" t="s">
        <v>522</v>
      </c>
    </row>
  </sheetData>
  <dataValidations count="1">
    <dataValidation allowBlank="1" showInputMessage="1" showErrorMessage="1" sqref="D2:D69" xr:uid="{DDEF01CB-6510-4E1E-906A-96A7FAF72EEA}"/>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39AD307-7042-4C51-835A-1791E49730F8}">
          <x14:formula1>
            <xm:f>Lookups!$A$2:$A$7</xm:f>
          </x14:formula1>
          <xm:sqref>C2:C64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A008-2614-4F3D-A433-F4D24AA1CEAE}">
  <dimension ref="A1:B4"/>
  <sheetViews>
    <sheetView workbookViewId="0">
      <selection activeCell="B5" sqref="B5"/>
    </sheetView>
  </sheetViews>
  <sheetFormatPr defaultRowHeight="15"/>
  <cols>
    <col min="1" max="1" width="10.7109375" bestFit="1" customWidth="1"/>
    <col min="2" max="2" width="48.7109375" style="6" customWidth="1"/>
  </cols>
  <sheetData>
    <row r="1" spans="1:2">
      <c r="A1" t="s">
        <v>523</v>
      </c>
      <c r="B1" s="6" t="s">
        <v>524</v>
      </c>
    </row>
    <row r="2" spans="1:2" ht="45">
      <c r="A2" t="s">
        <v>479</v>
      </c>
      <c r="B2" s="6" t="s">
        <v>525</v>
      </c>
    </row>
    <row r="3" spans="1:2">
      <c r="A3" t="s">
        <v>526</v>
      </c>
      <c r="B3" s="6" t="s">
        <v>527</v>
      </c>
    </row>
    <row r="4" spans="1:2" ht="45">
      <c r="A4" t="s">
        <v>528</v>
      </c>
      <c r="B4" s="6" t="s">
        <v>529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BA10E-D724-4AE3-9C0E-50E41549DCE5}">
  <dimension ref="A1:M39"/>
  <sheetViews>
    <sheetView workbookViewId="0">
      <selection activeCell="H38" sqref="H38"/>
    </sheetView>
  </sheetViews>
  <sheetFormatPr defaultRowHeight="15"/>
  <cols>
    <col min="1" max="1" width="17" customWidth="1"/>
    <col min="3" max="3" width="11.28515625" bestFit="1" customWidth="1"/>
    <col min="8" max="8" width="61.140625" bestFit="1" customWidth="1"/>
    <col min="11" max="11" width="34.42578125" bestFit="1" customWidth="1"/>
    <col min="13" max="13" width="52.28515625" bestFit="1" customWidth="1"/>
  </cols>
  <sheetData>
    <row r="1" spans="1:13">
      <c r="A1" t="s">
        <v>5</v>
      </c>
      <c r="C1" t="s">
        <v>530</v>
      </c>
      <c r="G1" t="s">
        <v>531</v>
      </c>
      <c r="H1" t="s">
        <v>532</v>
      </c>
      <c r="K1" t="s">
        <v>533</v>
      </c>
      <c r="L1" t="s">
        <v>534</v>
      </c>
      <c r="M1" t="s">
        <v>535</v>
      </c>
    </row>
    <row r="2" spans="1:13">
      <c r="A2" t="s">
        <v>456</v>
      </c>
      <c r="C2" t="s">
        <v>22</v>
      </c>
      <c r="G2">
        <v>1786976</v>
      </c>
      <c r="H2" t="s">
        <v>536</v>
      </c>
      <c r="K2" t="s">
        <v>86</v>
      </c>
      <c r="L2" t="s">
        <v>85</v>
      </c>
      <c r="M2" t="s">
        <v>537</v>
      </c>
    </row>
    <row r="3" spans="1:13">
      <c r="A3" t="s">
        <v>460</v>
      </c>
      <c r="C3" t="s">
        <v>87</v>
      </c>
      <c r="G3">
        <v>1790394</v>
      </c>
      <c r="H3" t="s">
        <v>538</v>
      </c>
      <c r="K3" t="s">
        <v>539</v>
      </c>
      <c r="L3" t="s">
        <v>540</v>
      </c>
      <c r="M3" t="s">
        <v>541</v>
      </c>
    </row>
    <row r="4" spans="1:13">
      <c r="A4" t="s">
        <v>499</v>
      </c>
      <c r="C4" t="s">
        <v>67</v>
      </c>
      <c r="G4">
        <v>1790990</v>
      </c>
      <c r="H4" t="s">
        <v>542</v>
      </c>
      <c r="K4" t="s">
        <v>154</v>
      </c>
      <c r="L4" t="s">
        <v>153</v>
      </c>
      <c r="M4" t="s">
        <v>543</v>
      </c>
    </row>
    <row r="5" spans="1:13">
      <c r="A5" t="s">
        <v>501</v>
      </c>
      <c r="G5">
        <v>1798235</v>
      </c>
      <c r="H5" t="s">
        <v>544</v>
      </c>
      <c r="K5" t="s">
        <v>545</v>
      </c>
      <c r="L5" t="s">
        <v>546</v>
      </c>
      <c r="M5" t="s">
        <v>547</v>
      </c>
    </row>
    <row r="6" spans="1:13">
      <c r="A6" t="s">
        <v>508</v>
      </c>
      <c r="G6">
        <v>1786983</v>
      </c>
      <c r="H6" t="s">
        <v>548</v>
      </c>
      <c r="K6" t="s">
        <v>549</v>
      </c>
      <c r="L6" t="s">
        <v>550</v>
      </c>
      <c r="M6" t="s">
        <v>551</v>
      </c>
    </row>
    <row r="7" spans="1:13">
      <c r="A7" t="s">
        <v>552</v>
      </c>
      <c r="G7">
        <v>1789636</v>
      </c>
      <c r="H7" t="s">
        <v>553</v>
      </c>
      <c r="K7" t="s">
        <v>264</v>
      </c>
      <c r="L7" t="s">
        <v>263</v>
      </c>
      <c r="M7" t="s">
        <v>554</v>
      </c>
    </row>
    <row r="8" spans="1:13">
      <c r="G8">
        <v>1786972</v>
      </c>
      <c r="H8" t="s">
        <v>555</v>
      </c>
      <c r="K8" t="s">
        <v>556</v>
      </c>
      <c r="L8" t="s">
        <v>557</v>
      </c>
      <c r="M8" t="s">
        <v>558</v>
      </c>
    </row>
    <row r="9" spans="1:13">
      <c r="G9">
        <v>1792329</v>
      </c>
      <c r="H9" t="s">
        <v>559</v>
      </c>
      <c r="K9" t="s">
        <v>560</v>
      </c>
      <c r="L9" t="s">
        <v>561</v>
      </c>
      <c r="M9" t="s">
        <v>562</v>
      </c>
    </row>
    <row r="10" spans="1:13">
      <c r="G10">
        <v>1786978</v>
      </c>
      <c r="H10" t="s">
        <v>563</v>
      </c>
      <c r="K10" t="s">
        <v>564</v>
      </c>
      <c r="L10" t="s">
        <v>565</v>
      </c>
      <c r="M10" t="s">
        <v>566</v>
      </c>
    </row>
    <row r="11" spans="1:13">
      <c r="G11">
        <v>1786980</v>
      </c>
      <c r="H11" t="s">
        <v>567</v>
      </c>
      <c r="K11" t="s">
        <v>568</v>
      </c>
      <c r="L11" t="s">
        <v>569</v>
      </c>
      <c r="M11" t="s">
        <v>570</v>
      </c>
    </row>
    <row r="12" spans="1:13">
      <c r="G12">
        <v>1792384</v>
      </c>
      <c r="H12" t="s">
        <v>571</v>
      </c>
      <c r="K12" t="s">
        <v>572</v>
      </c>
      <c r="L12" t="s">
        <v>20</v>
      </c>
      <c r="M12" t="s">
        <v>573</v>
      </c>
    </row>
    <row r="13" spans="1:13">
      <c r="G13">
        <v>1792996</v>
      </c>
      <c r="H13" t="s">
        <v>574</v>
      </c>
      <c r="K13" t="s">
        <v>575</v>
      </c>
      <c r="L13" t="s">
        <v>576</v>
      </c>
      <c r="M13" t="s">
        <v>577</v>
      </c>
    </row>
    <row r="14" spans="1:13">
      <c r="G14">
        <v>1792365</v>
      </c>
      <c r="H14" t="s">
        <v>578</v>
      </c>
      <c r="K14" t="s">
        <v>579</v>
      </c>
      <c r="L14" t="s">
        <v>580</v>
      </c>
      <c r="M14" t="s">
        <v>581</v>
      </c>
    </row>
    <row r="15" spans="1:13">
      <c r="G15">
        <v>1792382</v>
      </c>
      <c r="H15" t="s">
        <v>582</v>
      </c>
      <c r="K15" t="s">
        <v>583</v>
      </c>
      <c r="L15" t="s">
        <v>584</v>
      </c>
      <c r="M15" t="s">
        <v>585</v>
      </c>
    </row>
    <row r="16" spans="1:13">
      <c r="G16">
        <v>1792387</v>
      </c>
      <c r="H16" t="s">
        <v>586</v>
      </c>
      <c r="K16" t="s">
        <v>587</v>
      </c>
      <c r="L16" t="s">
        <v>588</v>
      </c>
      <c r="M16" t="s">
        <v>589</v>
      </c>
    </row>
    <row r="17" spans="7:13">
      <c r="G17">
        <v>1792326</v>
      </c>
      <c r="H17" t="s">
        <v>590</v>
      </c>
      <c r="K17" t="s">
        <v>124</v>
      </c>
      <c r="L17" t="s">
        <v>123</v>
      </c>
      <c r="M17" t="s">
        <v>591</v>
      </c>
    </row>
    <row r="18" spans="7:13">
      <c r="G18">
        <v>1792325</v>
      </c>
      <c r="H18" t="s">
        <v>592</v>
      </c>
      <c r="K18" t="s">
        <v>120</v>
      </c>
      <c r="L18" t="s">
        <v>119</v>
      </c>
      <c r="M18" t="s">
        <v>593</v>
      </c>
    </row>
    <row r="19" spans="7:13">
      <c r="G19">
        <v>1792327</v>
      </c>
      <c r="H19" t="s">
        <v>594</v>
      </c>
      <c r="K19" t="s">
        <v>83</v>
      </c>
      <c r="L19" t="s">
        <v>82</v>
      </c>
      <c r="M19" t="s">
        <v>595</v>
      </c>
    </row>
    <row r="20" spans="7:13">
      <c r="G20">
        <v>1786986</v>
      </c>
      <c r="H20" t="s">
        <v>596</v>
      </c>
      <c r="K20" t="s">
        <v>597</v>
      </c>
      <c r="L20" t="s">
        <v>90</v>
      </c>
      <c r="M20" t="s">
        <v>598</v>
      </c>
    </row>
    <row r="21" spans="7:13">
      <c r="G21">
        <v>1786981</v>
      </c>
      <c r="H21" t="s">
        <v>599</v>
      </c>
      <c r="K21" t="s">
        <v>132</v>
      </c>
      <c r="L21" t="s">
        <v>131</v>
      </c>
      <c r="M21" t="s">
        <v>600</v>
      </c>
    </row>
    <row r="22" spans="7:13">
      <c r="G22">
        <v>1786985</v>
      </c>
      <c r="H22" t="s">
        <v>601</v>
      </c>
      <c r="K22" t="s">
        <v>127</v>
      </c>
      <c r="L22" t="s">
        <v>126</v>
      </c>
      <c r="M22" t="s">
        <v>602</v>
      </c>
    </row>
    <row r="23" spans="7:13">
      <c r="G23">
        <v>1786975</v>
      </c>
      <c r="H23" t="s">
        <v>603</v>
      </c>
      <c r="K23" t="s">
        <v>604</v>
      </c>
      <c r="L23" t="s">
        <v>605</v>
      </c>
      <c r="M23" t="s">
        <v>606</v>
      </c>
    </row>
    <row r="24" spans="7:13">
      <c r="G24">
        <v>1786984</v>
      </c>
      <c r="H24" t="s">
        <v>607</v>
      </c>
      <c r="K24" t="s">
        <v>608</v>
      </c>
      <c r="L24" t="s">
        <v>609</v>
      </c>
      <c r="M24" t="s">
        <v>610</v>
      </c>
    </row>
    <row r="25" spans="7:13">
      <c r="G25">
        <v>1786974</v>
      </c>
      <c r="H25" t="s">
        <v>611</v>
      </c>
      <c r="K25" t="s">
        <v>612</v>
      </c>
      <c r="L25" t="s">
        <v>613</v>
      </c>
      <c r="M25" t="s">
        <v>614</v>
      </c>
    </row>
    <row r="26" spans="7:13">
      <c r="G26">
        <v>1789563</v>
      </c>
      <c r="H26" t="s">
        <v>615</v>
      </c>
      <c r="K26" t="s">
        <v>616</v>
      </c>
      <c r="L26" t="s">
        <v>617</v>
      </c>
      <c r="M26" t="s">
        <v>618</v>
      </c>
    </row>
    <row r="27" spans="7:13">
      <c r="G27">
        <v>1786987</v>
      </c>
      <c r="H27" t="s">
        <v>619</v>
      </c>
      <c r="K27" t="s">
        <v>620</v>
      </c>
      <c r="L27" t="s">
        <v>621</v>
      </c>
      <c r="M27" t="s">
        <v>622</v>
      </c>
    </row>
    <row r="28" spans="7:13">
      <c r="G28">
        <v>1786979</v>
      </c>
      <c r="H28" t="s">
        <v>623</v>
      </c>
      <c r="K28" t="s">
        <v>269</v>
      </c>
      <c r="L28" t="s">
        <v>268</v>
      </c>
      <c r="M28" t="s">
        <v>624</v>
      </c>
    </row>
    <row r="29" spans="7:13">
      <c r="G29">
        <v>1797450</v>
      </c>
      <c r="H29" t="s">
        <v>625</v>
      </c>
      <c r="K29" t="s">
        <v>254</v>
      </c>
      <c r="L29" t="s">
        <v>253</v>
      </c>
      <c r="M29" t="s">
        <v>626</v>
      </c>
    </row>
    <row r="30" spans="7:13">
      <c r="G30">
        <v>1793005</v>
      </c>
      <c r="H30" t="s">
        <v>627</v>
      </c>
      <c r="K30" t="s">
        <v>628</v>
      </c>
      <c r="L30" t="s">
        <v>629</v>
      </c>
      <c r="M30" t="s">
        <v>630</v>
      </c>
    </row>
    <row r="31" spans="7:13">
      <c r="G31">
        <v>1786990</v>
      </c>
      <c r="H31" t="s">
        <v>631</v>
      </c>
      <c r="K31" t="s">
        <v>96</v>
      </c>
      <c r="L31" t="s">
        <v>95</v>
      </c>
      <c r="M31" t="s">
        <v>632</v>
      </c>
    </row>
    <row r="32" spans="7:13">
      <c r="G32">
        <v>1786977</v>
      </c>
      <c r="H32" t="s">
        <v>633</v>
      </c>
      <c r="K32" t="s">
        <v>634</v>
      </c>
      <c r="L32" t="s">
        <v>635</v>
      </c>
      <c r="M32" t="s">
        <v>636</v>
      </c>
    </row>
    <row r="33" spans="7:13">
      <c r="G33">
        <v>1786989</v>
      </c>
      <c r="H33" t="s">
        <v>637</v>
      </c>
      <c r="K33" t="s">
        <v>638</v>
      </c>
      <c r="L33" t="s">
        <v>639</v>
      </c>
      <c r="M33" t="s">
        <v>640</v>
      </c>
    </row>
    <row r="34" spans="7:13">
      <c r="G34">
        <v>1786973</v>
      </c>
      <c r="H34" t="s">
        <v>641</v>
      </c>
      <c r="K34" t="s">
        <v>118</v>
      </c>
      <c r="L34" t="s">
        <v>117</v>
      </c>
      <c r="M34" t="s">
        <v>642</v>
      </c>
    </row>
    <row r="35" spans="7:13">
      <c r="G35">
        <v>1801051</v>
      </c>
      <c r="H35" t="s">
        <v>643</v>
      </c>
      <c r="K35" t="s">
        <v>644</v>
      </c>
      <c r="L35" t="s">
        <v>645</v>
      </c>
      <c r="M35" t="s">
        <v>646</v>
      </c>
    </row>
    <row r="36" spans="7:13">
      <c r="G36">
        <v>1786982</v>
      </c>
      <c r="H36" t="s">
        <v>647</v>
      </c>
      <c r="K36" t="s">
        <v>648</v>
      </c>
      <c r="L36" t="s">
        <v>649</v>
      </c>
      <c r="M36" t="s">
        <v>650</v>
      </c>
    </row>
    <row r="37" spans="7:13">
      <c r="G37">
        <v>1786988</v>
      </c>
      <c r="H37" t="s">
        <v>651</v>
      </c>
      <c r="K37" t="s">
        <v>159</v>
      </c>
      <c r="L37" t="s">
        <v>158</v>
      </c>
      <c r="M37" t="s">
        <v>652</v>
      </c>
    </row>
    <row r="38" spans="7:13">
      <c r="G38">
        <v>1796623</v>
      </c>
      <c r="H38" t="s">
        <v>653</v>
      </c>
      <c r="K38" t="s">
        <v>262</v>
      </c>
      <c r="L38" t="s">
        <v>261</v>
      </c>
      <c r="M38" t="s">
        <v>654</v>
      </c>
    </row>
    <row r="39" spans="7:13">
      <c r="K39" t="s">
        <v>655</v>
      </c>
      <c r="L39" t="s">
        <v>258</v>
      </c>
      <c r="M39" t="s">
        <v>656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89ffbf43-8f8b-427c-8150-697905933961" xsi:nil="true"/>
    <TaxCatchAll xmlns="d23f115f-7213-4b84-a024-6ec3afb3d966" xsi:nil="true"/>
    <lcf76f155ced4ddcb4097134ff3c332f xmlns="89ffbf43-8f8b-427c-8150-69790593396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F35B71A3AF2B4B992F63748145B202" ma:contentTypeVersion="20" ma:contentTypeDescription="Create a new document." ma:contentTypeScope="" ma:versionID="22ed3a0370809a5a6cb13a85f0f3b236">
  <xsd:schema xmlns:xsd="http://www.w3.org/2001/XMLSchema" xmlns:xs="http://www.w3.org/2001/XMLSchema" xmlns:p="http://schemas.microsoft.com/office/2006/metadata/properties" xmlns:ns2="89ffbf43-8f8b-427c-8150-697905933961" xmlns:ns3="d23f115f-7213-4b84-a024-6ec3afb3d966" targetNamespace="http://schemas.microsoft.com/office/2006/metadata/properties" ma:root="true" ma:fieldsID="3ed4f8bfa17eaaad20a6fa0d4c5c3801" ns2:_="" ns3:_="">
    <xsd:import namespace="89ffbf43-8f8b-427c-8150-697905933961"/>
    <xsd:import namespace="d23f115f-7213-4b84-a024-6ec3afb3d966"/>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ObjectDetectorVersions" minOccurs="0"/>
                <xsd:element ref="ns2:MediaServiceSearchProperties" minOccurs="0"/>
                <xsd:element ref="ns3:TaxCatchAll" minOccurs="0"/>
                <xsd:element ref="ns2:MediaServiceOCR" minOccurs="0"/>
                <xsd:element ref="ns2:lcf76f155ced4ddcb4097134ff3c332f"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fbf43-8f8b-427c-8150-697905933961"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c349d9a-284b-478a-af45-ecae560eed09" ma:termSetId="09814cd3-568e-fe90-9814-8d621ff8fb84" ma:anchorId="fba54fb3-c3e1-fe81-a776-ca4b69148c4d" ma:open="true" ma:isKeyword="false">
      <xsd:complexType>
        <xsd:sequence>
          <xsd:element ref="pc:Terms" minOccurs="0" maxOccurs="1"/>
        </xsd:sequence>
      </xsd:complexType>
    </xsd:element>
    <xsd:element name="MediaServiceBillingMetadata" ma:index="24" nillable="true" ma:displayName="MediaServiceBillingMetadata" ma:hidden="true" ma:internalName="MediaServiceBillingMetadata" ma:readOnly="true">
      <xsd:simpleType>
        <xsd:restriction base="dms:Note"/>
      </xsd:simpleType>
    </xsd:element>
    <xsd:element name="_Flow_SignoffStatus" ma:index="25"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3f115f-7213-4b84-a024-6ec3afb3d96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433fbf4-68d6-4867-be44-8a4b50229b38}" ma:internalName="TaxCatchAll" ma:showField="CatchAllData" ma:web="d23f115f-7213-4b84-a024-6ec3afb3d9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7AC0C4-2F40-4439-9170-26D4C05537D1}"/>
</file>

<file path=customXml/itemProps2.xml><?xml version="1.0" encoding="utf-8"?>
<ds:datastoreItem xmlns:ds="http://schemas.openxmlformats.org/officeDocument/2006/customXml" ds:itemID="{64FE71CA-A3C1-4E7E-85B6-B6A7079BF2A9}"/>
</file>

<file path=customXml/itemProps3.xml><?xml version="1.0" encoding="utf-8"?>
<ds:datastoreItem xmlns:ds="http://schemas.openxmlformats.org/officeDocument/2006/customXml" ds:itemID="{C2A550C3-C753-45FD-9504-2EF37D0C6D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Paul</dc:creator>
  <cp:keywords/>
  <dc:description/>
  <cp:lastModifiedBy/>
  <cp:revision/>
  <dcterms:created xsi:type="dcterms:W3CDTF">2025-12-17T13:46:45Z</dcterms:created>
  <dcterms:modified xsi:type="dcterms:W3CDTF">2026-05-06T17:42:24Z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0x010100E4F35B71A3AF2B4B992F63748145B202</vt:lpwstr>
  </property>
  <property fmtid="{D5CDD505-2E9C-101B-9397-08002B2CF9AE}" pid="3" name="MediaServiceImageTags">
    <vt:lpwstr/>
  </property>
</Properties>
</file>